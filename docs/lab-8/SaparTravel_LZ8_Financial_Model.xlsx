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uide" sheetId="1" state="visible" r:id="rId3"/>
    <sheet name="FX" sheetId="2" state="visible" r:id="rId4"/>
    <sheet name="Inputs" sheetId="3" state="visible" r:id="rId5"/>
    <sheet name="Tariffs" sheetId="4" state="visible" r:id="rId6"/>
    <sheet name="Hosting" sheetId="5" state="visible" r:id="rId7"/>
    <sheet name="Budget12" sheetId="6" state="visible" r:id="rId8"/>
    <sheet name="Unit" sheetId="7" state="visible" r:id="rId9"/>
    <sheet name="Sensitivity" sheetId="8" state="visible" r:id="rId10"/>
    <sheet name="SLO" sheetId="9" state="visible" r:id="rId11"/>
    <sheet name="Checks" sheetId="10" state="visible" r:id="rId12"/>
    <sheet name="Sources" sheetId="11" state="visible" r:id="rId13"/>
  </sheets>
  <definedNames>
    <definedName function="false" hidden="false" localSheetId="5" name="_xlnm.Print_Titles" vbProcedure="false">Budget12!$1:$1</definedName>
    <definedName function="false" hidden="true" localSheetId="5" name="_xlnm._FilterDatabase" vbProcedure="false">Budget12!$A$1:$N$20</definedName>
    <definedName function="false" hidden="false" localSheetId="9" name="_xlnm.Print_Titles" vbProcedure="false">Checks!$1:$1</definedName>
    <definedName function="false" hidden="true" localSheetId="9" name="_xlnm._FilterDatabase" vbProcedure="false">Checks!$A$1:$C$20</definedName>
    <definedName function="false" hidden="false" localSheetId="1" name="_xlnm.Print_Titles" vbProcedure="false">FX!$1:$1</definedName>
    <definedName function="false" hidden="false" localSheetId="0" name="_xlnm.Print_Titles" vbProcedure="false">Guide!$1:$1</definedName>
    <definedName function="false" hidden="true" localSheetId="0" name="_xlnm._FilterDatabase" vbProcedure="false">Guide!$A$1:$B$13</definedName>
    <definedName function="false" hidden="false" localSheetId="4" name="_xlnm.Print_Titles" vbProcedure="false">Hosting!$1:$1</definedName>
    <definedName function="false" hidden="true" localSheetId="4" name="_xlnm._FilterDatabase" vbProcedure="false">Hosting!$A$1:$E$19</definedName>
    <definedName function="false" hidden="false" localSheetId="2" name="_xlnm.Print_Titles" vbProcedure="false">Inputs!$1:$1</definedName>
    <definedName function="false" hidden="true" localSheetId="2" name="_xlnm._FilterDatabase" vbProcedure="false">Inputs!$A$1:$D$32</definedName>
    <definedName function="false" hidden="false" localSheetId="7" name="_xlnm.Print_Titles" vbProcedure="false">Sensitivity!$1:$1</definedName>
    <definedName function="false" hidden="true" localSheetId="7" name="_xlnm._FilterDatabase" vbProcedure="false">Sensitivity!$A$1:$H$8</definedName>
    <definedName function="false" hidden="false" localSheetId="8" name="_xlnm.Print_Titles" vbProcedure="false">SLO!$1:$1</definedName>
    <definedName function="false" hidden="true" localSheetId="8" name="_xlnm._FilterDatabase" vbProcedure="false">SLO!$A$1:$L$9</definedName>
    <definedName function="false" hidden="false" localSheetId="10" name="_xlnm.Print_Titles" vbProcedure="false">Sources!$1:$1</definedName>
    <definedName function="false" hidden="true" localSheetId="10" name="_xlnm._FilterDatabase" vbProcedure="false">Sources!$A$1:$E$13</definedName>
    <definedName function="false" hidden="false" localSheetId="3" name="_xlnm.Print_Titles" vbProcedure="false">Tariffs!$1:$1</definedName>
    <definedName function="false" hidden="true" localSheetId="3" name="_xlnm._FilterDatabase" vbProcedure="false">Tariffs!$A$1:$E$9</definedName>
    <definedName function="false" hidden="false" localSheetId="6" name="_xlnm.Print_Titles" vbProcedure="false">Unit!$1:$1</definedName>
    <definedName function="false" hidden="true" localSheetId="6" name="_xlnm._FilterDatabase" vbProcedure="false">Unit!$A$1:$C$23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<sst xmlns="http://schemas.openxmlformats.org/spreadsheetml/2006/main" count="437" uniqueCount="389">
  <si>
    <t xml:space="preserve">ЛЗ8 SaparTravel</t>
  </si>
  <si>
    <t xml:space="preserve">Как использовать модель</t>
  </si>
  <si>
    <t xml:space="preserve">Версия / дата</t>
  </si>
  <si>
    <t xml:space="preserve">1.1 KZT / 23.10.2026</t>
  </si>
  <si>
    <t xml:space="preserve">Единицы</t>
  </si>
  <si>
    <t xml:space="preserve">Тенге (KZT). Курс и дата — FX; опубликованные валютные тарифы переведены формулами. Налоги и инфляция не включены</t>
  </si>
  <si>
    <t xml:space="preserve">Статус</t>
  </si>
  <si>
    <t xml:space="preserve">Смета и гипотезы; фактические расходы и коммерческие договоры не подтверждены</t>
  </si>
  <si>
    <t xml:space="preserve">Горизонт бюджета</t>
  </si>
  <si>
    <t xml:space="preserve">09.2026–08.2027; M1–M3 разработка, запуск до 20.12.2026; первые 4 месяца также план, не факт</t>
  </si>
  <si>
    <t xml:space="preserve">Редактирование</t>
  </si>
  <si>
    <t xml:space="preserve">Синие значения Inputs, исходные тарифы Tariffs B, FX B4:B6 и MAU Budget12 — входы; остальные суммы рассчитываются формулами</t>
  </si>
  <si>
    <t xml:space="preserve">Безубыточность</t>
  </si>
  <si>
    <t xml:space="preserve">Операционная отдельно от распределения разовых затрат на 36 месяцев; рост MAU не равен прибыли первого года</t>
  </si>
  <si>
    <t xml:space="preserve">Пересчет</t>
  </si>
  <si>
    <t xml:space="preserve">Открыть в Excel/LibreOffice с автоматическим пересчетом. Checks: все разности = 0, дефицит часов = 46,2</t>
  </si>
  <si>
    <t xml:space="preserve">Оплата</t>
  </si>
  <si>
    <t xml:space="preserve">Учетная запись и платные ресурсы облака не создавались; только публичный калькулятор и тарифы</t>
  </si>
  <si>
    <t xml:space="preserve">Резервы</t>
  </si>
  <si>
    <t xml:space="preserve">EMV 63,2 ч и управление 16 ч умножаются на ставку часа в тенге из Inputs; резервы — лимиты, не фактические расходы</t>
  </si>
  <si>
    <t xml:space="preserve">Поддержка</t>
  </si>
  <si>
    <t xml:space="preserve">Поддержка приложения и пользователей — ставка Inputs в тенге; 4/12/8 ч администрирования размещения учитываются отдельно</t>
  </si>
  <si>
    <t xml:space="preserve">Ограничение мощности</t>
  </si>
  <si>
    <t xml:space="preserve">Прогноз до 2000 MAU, 500 туров, БД до 10 GiB, 20 RPS суммарно; подтвердить нагрузочным тестом</t>
  </si>
  <si>
    <t xml:space="preserve">TCO</t>
  </si>
  <si>
    <t xml:space="preserve">Hosting: 36 полных месяцев одинакового спроса. Budget12: проект с разработкой и постепенным ростом; горизонты различаются</t>
  </si>
  <si>
    <t xml:space="preserve">Валютный параметр</t>
  </si>
  <si>
    <t xml:space="preserve">Значение</t>
  </si>
  <si>
    <t xml:space="preserve">Правило использования</t>
  </si>
  <si>
    <t xml:space="preserve">Валюта бюджета</t>
  </si>
  <si>
    <t xml:space="preserve">KZT / казахстанский тенге</t>
  </si>
  <si>
    <t xml:space="preserve">Все итоговые затраты, выручка и стоимость на MAU — в тенге</t>
  </si>
  <si>
    <t xml:space="preserve">Валюта опубликованных тарифов</t>
  </si>
  <si>
    <t xml:space="preserve">USD</t>
  </si>
  <si>
    <t xml:space="preserve">Исходные тарифы провайдеров сохранены на Tariffs, колонка B</t>
  </si>
  <si>
    <t xml:space="preserve">Курс: тенге за 1 USD</t>
  </si>
  <si>
    <t xml:space="preserve">Редактируемый курс; пересчитывает опубликованные валютные тарифы, колонка E Tariffs</t>
  </si>
  <si>
    <t xml:space="preserve">Дата курса</t>
  </si>
  <si>
    <t xml:space="preserve">2026-10-23</t>
  </si>
  <si>
    <t xml:space="preserve">Дата котировки/применения, зафиксированная при подготовке расчета</t>
  </si>
  <si>
    <t xml:space="preserve">Источник курса</t>
  </si>
  <si>
    <t xml:space="preserve">https://nationalbank.kz/rss/get_rates.cfm?fdate=23.10.2026</t>
  </si>
  <si>
    <t xml:space="preserve">Проверяемый источник; ставка курса передана в конвертер явно</t>
  </si>
  <si>
    <t xml:space="preserve">Местные сметные допущения</t>
  </si>
  <si>
    <t xml:space="preserve">Фиксированы в тенге после перевода</t>
  </si>
  <si>
    <t xml:space="preserve">Inputs и ранний baseline переведены однократно по курсу на дату подготовки; менять в тенге по фактическим предложениям</t>
  </si>
  <si>
    <t xml:space="preserve">Что означает валютный стресс</t>
  </si>
  <si>
    <t xml:space="preserve">Меняются только опубликованные валютные тарифы</t>
  </si>
  <si>
    <t xml:space="preserve">Курс не индексирует местный чек, зарплаты, CAPEX и прочие фиксированные тенговые допущения</t>
  </si>
  <si>
    <t xml:space="preserve">Точность</t>
  </si>
  <si>
    <t xml:space="preserve">Формулы сохраняют полную точность; вывод денег — 2 знака</t>
  </si>
  <si>
    <t xml:space="preserve">Малые удельные ставки показаны с 4 знаками; остаток резерва переносится на M3</t>
  </si>
  <si>
    <t xml:space="preserve">Налоги, инфляция и банковская конвертация</t>
  </si>
  <si>
    <t xml:space="preserve">Не включены</t>
  </si>
  <si>
    <t xml:space="preserve">Перевод валюты сохраняет исходную методику, не является налоговым или банковским расчетом</t>
  </si>
  <si>
    <t xml:space="preserve">Параметр</t>
  </si>
  <si>
    <t xml:space="preserve">Единица</t>
  </si>
  <si>
    <t xml:space="preserve">Основание</t>
  </si>
  <si>
    <t xml:space="preserve">Стоимость разработки и настройки приложения</t>
  </si>
  <si>
    <t xml:space="preserve">тг, разово</t>
  </si>
  <si>
    <t xml:space="preserve">Бизнес-кейс ЛЗ3; top-down оценка. Трудоемкость WBS оценивается отдельно, ставки указаны в тенге</t>
  </si>
  <si>
    <t xml:space="preserve">Миграция/сверка данных</t>
  </si>
  <si>
    <t xml:space="preserve">Бизнес-кейс ЛЗ3</t>
  </si>
  <si>
    <t xml:space="preserve">Обучение пользователей</t>
  </si>
  <si>
    <t xml:space="preserve">Вывод старого ручного процесса</t>
  </si>
  <si>
    <t xml:space="preserve">Бизнес-кейс ЛЗ3; перенос в месяц запуска</t>
  </si>
  <si>
    <t xml:space="preserve">Поддержка приложения и пользователей</t>
  </si>
  <si>
    <t xml:space="preserve">тг/мес. после запуска</t>
  </si>
  <si>
    <t xml:space="preserve">6000/12 из ЛЗ3; без администрирования хостинга</t>
  </si>
  <si>
    <t xml:space="preserve">Продвижение</t>
  </si>
  <si>
    <t xml:space="preserve">Учебное допущение ЛЗ8, не оферта</t>
  </si>
  <si>
    <t xml:space="preserve">Переменные расходы на активного туриста</t>
  </si>
  <si>
    <t xml:space="preserve">тг/MAU/мес.</t>
  </si>
  <si>
    <t xml:space="preserve">Допущение: обработка и сверка операций; инфраструктура отдельно</t>
  </si>
  <si>
    <t xml:space="preserve">Средняя стоимость реализованного заказа</t>
  </si>
  <si>
    <t xml:space="preserve">тг/заказ</t>
  </si>
  <si>
    <t xml:space="preserve">Допущение, не цена демонстрационного каталога</t>
  </si>
  <si>
    <t xml:space="preserve">Доля MAU с одним реализованным заказом/мес.</t>
  </si>
  <si>
    <t xml:space="preserve">доля</t>
  </si>
  <si>
    <t xml:space="preserve">Допущение; уже после отмен и неявок</t>
  </si>
  <si>
    <t xml:space="preserve">Комиссия поставщика</t>
  </si>
  <si>
    <t xml:space="preserve">доля GMV</t>
  </si>
  <si>
    <t xml:space="preserve">Гипотеза договора: ручное выставление счета, без онлайн-оплаты</t>
  </si>
  <si>
    <t xml:space="preserve">Ставка дополнительного администрирования</t>
  </si>
  <si>
    <t xml:space="preserve">тг/ч</t>
  </si>
  <si>
    <t xml:space="preserve">Допущение ЛЗ3; полная стоимость часа с начислениями</t>
  </si>
  <si>
    <t xml:space="preserve">Часы администрирования cloud</t>
  </si>
  <si>
    <t xml:space="preserve">ч/мес.</t>
  </si>
  <si>
    <t xml:space="preserve">Допущение, не круглосуточное дежурство</t>
  </si>
  <si>
    <t xml:space="preserve">Часы администрирования own</t>
  </si>
  <si>
    <t xml:space="preserve">Допущение</t>
  </si>
  <si>
    <t xml:space="preserve">Часы администрирования rent</t>
  </si>
  <si>
    <t xml:space="preserve">Домен/DNS</t>
  </si>
  <si>
    <t xml:space="preserve">тг/мес.</t>
  </si>
  <si>
    <t xml:space="preserve">Сметный лимит годового домена / 12, переведенный в тенге; не оферта регистратора</t>
  </si>
  <si>
    <t xml:space="preserve">Риск-резерв RAID</t>
  </si>
  <si>
    <t xml:space="preserve">ч</t>
  </si>
  <si>
    <t xml:space="preserve">docs/security/raid.md: сумма EMV</t>
  </si>
  <si>
    <t xml:space="preserve">Управленческий резерв</t>
  </si>
  <si>
    <t xml:space="preserve">docs/security/raid.md: отдельно от EMV</t>
  </si>
  <si>
    <t xml:space="preserve">Плановый объем WBS</t>
  </si>
  <si>
    <t xml:space="preserve">docs/plan/wbs.md</t>
  </si>
  <si>
    <t xml:space="preserve">Чистая емкость команды</t>
  </si>
  <si>
    <t xml:space="preserve">docs/plan/wbs.md; 4 человека, учебный календарь</t>
  </si>
  <si>
    <t xml:space="preserve">Срок распределения разовых затрат</t>
  </si>
  <si>
    <t xml:space="preserve">мес.</t>
  </si>
  <si>
    <t xml:space="preserve">Управленческий расчет, не бухгалтерская амортизация</t>
  </si>
  <si>
    <t xml:space="preserve">Собственный сервер</t>
  </si>
  <si>
    <t xml:space="preserve">тг, CAPEX</t>
  </si>
  <si>
    <t xml:space="preserve">Смета, не коммерческое предложение: 4+ ядра, 16+ GB, зеркальные SSD</t>
  </si>
  <si>
    <t xml:space="preserve">UPS и сеть</t>
  </si>
  <si>
    <t xml:space="preserve">Сметное допущение</t>
  </si>
  <si>
    <t xml:space="preserve">Средняя мощность owned вместе с сетью/UPS</t>
  </si>
  <si>
    <t xml:space="preserve">kW</t>
  </si>
  <si>
    <t xml:space="preserve">Допущение: измерить ваттметром</t>
  </si>
  <si>
    <t xml:space="preserve">Электроэнергия</t>
  </si>
  <si>
    <t xml:space="preserve">тг/kWh</t>
  </si>
  <si>
    <t xml:space="preserve">Сметное допущение, не местный тариф</t>
  </si>
  <si>
    <t xml:space="preserve">Интернет с публичным IP owned</t>
  </si>
  <si>
    <t xml:space="preserve">Обслуживание/запчасти owned</t>
  </si>
  <si>
    <t xml:space="preserve">Сметное допущение; утилизация без дохода от продажи</t>
  </si>
  <si>
    <t xml:space="preserve">Настройка cloud</t>
  </si>
  <si>
    <t xml:space="preserve">ч, разово</t>
  </si>
  <si>
    <t xml:space="preserve">Дополнительно к настройке приложения в ЛЗ3</t>
  </si>
  <si>
    <t xml:space="preserve">Настройка own</t>
  </si>
  <si>
    <t xml:space="preserve">Настройка rent</t>
  </si>
  <si>
    <t xml:space="preserve">Допущение; setup провайдера добавляется отдельно</t>
  </si>
  <si>
    <t xml:space="preserve">Плата SLA за сопровождение</t>
  </si>
  <si>
    <t xml:space="preserve">Та же статья поддержки; не добавляется к расходам второй раз</t>
  </si>
  <si>
    <t xml:space="preserve">Ранний baseline ЛЗ3 для сравнения</t>
  </si>
  <si>
    <t xml:space="preserve">тг, справочно</t>
  </si>
  <si>
    <t xml:space="preserve">Архивная смета ЛЗ3, приведенная к тенге по начальному курсу FX; не новая оценка затрат</t>
  </si>
  <si>
    <t xml:space="preserve">Тариф</t>
  </si>
  <si>
    <t xml:space="preserve">Исходный тариф USD / доля</t>
  </si>
  <si>
    <t xml:space="preserve">Источник</t>
  </si>
  <si>
    <t xml:space="preserve">Конфигурация / примечание</t>
  </si>
  <si>
    <t xml:space="preserve">Тариф в тенге / доля</t>
  </si>
  <si>
    <t xml:space="preserve">Cloud application VM</t>
  </si>
  <si>
    <t xml:space="preserve">S02</t>
  </si>
  <si>
    <t xml:space="preserve">Basic Regular 2 vCPU, 4 GiB, 80 GiB SSD</t>
  </si>
  <si>
    <t xml:space="preserve">Managed PostgreSQL</t>
  </si>
  <si>
    <t xml:space="preserve">S03</t>
  </si>
  <si>
    <t xml:space="preserve">Standard Basic Regular 1 vCPU, 2 GiB, 30 GiB, 0 standby</t>
  </si>
  <si>
    <t xml:space="preserve">Daily backup fraction</t>
  </si>
  <si>
    <t xml:space="preserve">S04</t>
  </si>
  <si>
    <t xml:space="preserve">Безразмерная доля от application VM; не денежная сумма</t>
  </si>
  <si>
    <t xml:space="preserve">Offsite object storage</t>
  </si>
  <si>
    <t xml:space="preserve">S05</t>
  </si>
  <si>
    <t xml:space="preserve">Spaces 250 GiB / 1 TiB; для own/rent вне основного сервера</t>
  </si>
  <si>
    <t xml:space="preserve">External monitoring VM</t>
  </si>
  <si>
    <t xml:space="preserve">Basic 1 vCPU, 1 GiB; мониторинг, пробы и логи</t>
  </si>
  <si>
    <t xml:space="preserve">Rent AX42-1</t>
  </si>
  <si>
    <t xml:space="preserve">S06/S08</t>
  </si>
  <si>
    <t xml:space="preserve">Обычный dedicated FSN1/HEL1; 64 GB ECC, 2×512 GB</t>
  </si>
  <si>
    <t xml:space="preserve">Rent primary IPv4</t>
  </si>
  <si>
    <t xml:space="preserve">S07</t>
  </si>
  <si>
    <t xml:space="preserve">Ежемесячная цена; разовая настройка IPv4 — 0 тг</t>
  </si>
  <si>
    <t xml:space="preserve">Rent provider setup</t>
  </si>
  <si>
    <t xml:space="preserve">S06</t>
  </si>
  <si>
    <t xml:space="preserve">Разовый setup провайдера; исходный USD переведен в колонке E, не ежемесячный платеж</t>
  </si>
  <si>
    <t xml:space="preserve">Статья, тенге</t>
  </si>
  <si>
    <t xml:space="preserve">Cloud managed</t>
  </si>
  <si>
    <t xml:space="preserve">Собственное</t>
  </si>
  <si>
    <t xml:space="preserve">Open stack dedicated</t>
  </si>
  <si>
    <t xml:space="preserve">Правило</t>
  </si>
  <si>
    <t xml:space="preserve">Приложение / сервер</t>
  </si>
  <si>
    <t xml:space="preserve">Доступен весь месяц; demand одинаковый, железо может быть избыточно</t>
  </si>
  <si>
    <t xml:space="preserve">Managed DB</t>
  </si>
  <si>
    <t xml:space="preserve">Для own/rent PostgreSQL на своем узле; лицензия — 0 тг</t>
  </si>
  <si>
    <t xml:space="preserve">Backup VM</t>
  </si>
  <si>
    <t xml:space="preserve">Cloud daily image; отдельные логические копии БД — в Spaces</t>
  </si>
  <si>
    <t xml:space="preserve">Внешние копии / артефакты</t>
  </si>
  <si>
    <t xml:space="preserve">Один лимит на вариант; 7 daily + 4 weekly + 3 monthly при dump ≤ 5 GiB</t>
  </si>
  <si>
    <t xml:space="preserve">Мониторинг</t>
  </si>
  <si>
    <t xml:space="preserve">Отдельный узел; для cloud другой регион, для остальных другой провайдер</t>
  </si>
  <si>
    <t xml:space="preserve">Годовой домен распределен на 12 месяцев; ставка Inputs указана в тенге</t>
  </si>
  <si>
    <t xml:space="preserve">Администрирование</t>
  </si>
  <si>
    <t xml:space="preserve">Дополнительные часы администрирования; поддержка приложения учитывается отдельно</t>
  </si>
  <si>
    <t xml:space="preserve">80 W, 365 дней/год; для rent/cloud в цене</t>
  </si>
  <si>
    <t xml:space="preserve">Интернет / публичный IP</t>
  </si>
  <si>
    <t xml:space="preserve">Cloud IPv4 и исходящий трафик в лимите плана</t>
  </si>
  <si>
    <t xml:space="preserve">Запчасти / обслуживание</t>
  </si>
  <si>
    <t xml:space="preserve">У owned отдельная сметная статья</t>
  </si>
  <si>
    <t xml:space="preserve">Ежемесячно</t>
  </si>
  <si>
    <t xml:space="preserve">OPEX размещения</t>
  </si>
  <si>
    <t xml:space="preserve">CAPEX</t>
  </si>
  <si>
    <t xml:space="preserve">Сервер + UPS/сеть; сметные CAPEX в тенге из Inputs</t>
  </si>
  <si>
    <t xml:space="preserve">Разовая настройка + setup</t>
  </si>
  <si>
    <t xml:space="preserve">Разовые работы инфраструктуры сверх разработки приложения; все суммы в тенге</t>
  </si>
  <si>
    <t xml:space="preserve">TCO размещения, 36 мес.</t>
  </si>
  <si>
    <t xml:space="preserve">Без дисконтирования, инфляции и остаточной стоимости; CAPEX не амортизируется повторно</t>
  </si>
  <si>
    <t xml:space="preserve">Общие затраты продукта</t>
  </si>
  <si>
    <t xml:space="preserve">Разработка, миграция, обучение, переход и поддержка за 36 месяцев; без маркетинга и переменных расходов</t>
  </si>
  <si>
    <t xml:space="preserve">Сопоставимый TCO проекта</t>
  </si>
  <si>
    <t xml:space="preserve">Сопоставление с архивным baseline ЛЗ3, приведенным к тенге в Inputs</t>
  </si>
  <si>
    <t xml:space="preserve">Разница с ЛЗ3</t>
  </si>
  <si>
    <t xml:space="preserve">Уточнены статьи инфраструктуры; не новый замер ROI</t>
  </si>
  <si>
    <t xml:space="preserve">Тарифы +30%: TCO размещения</t>
  </si>
  <si>
    <t xml:space="preserve">Стресс только опубликованных ежемесячных тарифов; труд и CAPEX без роста</t>
  </si>
  <si>
    <t xml:space="preserve">Статья / суммы в тенге</t>
  </si>
  <si>
    <t xml:space="preserve">M1 09.2026</t>
  </si>
  <si>
    <t xml:space="preserve">M2 10.2026</t>
  </si>
  <si>
    <t xml:space="preserve">M3 11.2026</t>
  </si>
  <si>
    <t xml:space="preserve">M4 12.2026</t>
  </si>
  <si>
    <t xml:space="preserve">M5 01.2027</t>
  </si>
  <si>
    <t xml:space="preserve">M6 02.2027</t>
  </si>
  <si>
    <t xml:space="preserve">M7 03.2027</t>
  </si>
  <si>
    <t xml:space="preserve">M8 04.2027</t>
  </si>
  <si>
    <t xml:space="preserve">M9 05.2027</t>
  </si>
  <si>
    <t xml:space="preserve">M10 06.2027</t>
  </si>
  <si>
    <t xml:space="preserve">M11 07.2027</t>
  </si>
  <si>
    <t xml:space="preserve">M12 08.2027</t>
  </si>
  <si>
    <t xml:space="preserve">12 месяцев</t>
  </si>
  <si>
    <t xml:space="preserve">MAU туристов</t>
  </si>
  <si>
    <t xml:space="preserve">Разработка</t>
  </si>
  <si>
    <t xml:space="preserve">Миграция данных</t>
  </si>
  <si>
    <t xml:space="preserve">Обучение</t>
  </si>
  <si>
    <t xml:space="preserve">Вывод старого процесса</t>
  </si>
  <si>
    <t xml:space="preserve">Разовая настройка hosting</t>
  </si>
  <si>
    <t xml:space="preserve">Размещение и его администрирование</t>
  </si>
  <si>
    <t xml:space="preserve">Поддержка приложения</t>
  </si>
  <si>
    <t xml:space="preserve">Переменные расходы</t>
  </si>
  <si>
    <t xml:space="preserve">Плановые затраты без резервов</t>
  </si>
  <si>
    <t xml:space="preserve">Выручка: комиссия</t>
  </si>
  <si>
    <t xml:space="preserve">Поток до резервов</t>
  </si>
  <si>
    <t xml:space="preserve">Накопленный поток</t>
  </si>
  <si>
    <t xml:space="preserve">Стоимость на MAU, тг/мес.</t>
  </si>
  <si>
    <t xml:space="preserve">Риск-резерв, распределение</t>
  </si>
  <si>
    <t xml:space="preserve">Baseline с рисками</t>
  </si>
  <si>
    <t xml:space="preserve">Лимит финансирования</t>
  </si>
  <si>
    <t xml:space="preserve">Показатель</t>
  </si>
  <si>
    <t xml:space="preserve">Значение, тг / MAU / доля</t>
  </si>
  <si>
    <t xml:space="preserve">Пояснение</t>
  </si>
  <si>
    <t xml:space="preserve">Выручка на MAU</t>
  </si>
  <si>
    <t xml:space="preserve">Средний чек в тенге × 3% × 8%; после отмен</t>
  </si>
  <si>
    <t xml:space="preserve">Переменные расходы на MAU</t>
  </si>
  <si>
    <t xml:space="preserve">Тенге / активный турист / месяц; ставка из Inputs</t>
  </si>
  <si>
    <t xml:space="preserve">Вклад MAU</t>
  </si>
  <si>
    <t xml:space="preserve">Должен быть &gt;0; иначе конечной точки безубыточности нет</t>
  </si>
  <si>
    <t xml:space="preserve">Постоянные затраты/мес.</t>
  </si>
  <si>
    <t xml:space="preserve">Размещение и его администрирование + поддержка приложения + продвижение, тг/мес.</t>
  </si>
  <si>
    <t xml:space="preserve">Разовые затраты</t>
  </si>
  <si>
    <t xml:space="preserve">Сумма разовых затрат в тенге; в первом году уже включена в Budget12</t>
  </si>
  <si>
    <t xml:space="preserve">Разовые / 36</t>
  </si>
  <si>
    <t xml:space="preserve">Только для зрелой unit-модели; не добавлять повторно в бюджет</t>
  </si>
  <si>
    <t xml:space="preserve">Операционная безубыточность, MAU</t>
  </si>
  <si>
    <t xml:space="preserve">Рост в пределах подтвержденной мощности</t>
  </si>
  <si>
    <t xml:space="preserve">Полная безубыточность, MAU</t>
  </si>
  <si>
    <t xml:space="preserve">С распределением разовых затрат на 36 мес.</t>
  </si>
  <si>
    <t xml:space="preserve">Полная с обоими резервами, MAU</t>
  </si>
  <si>
    <t xml:space="preserve">Резервы — лимит, не расход</t>
  </si>
  <si>
    <t xml:space="preserve">MAU для примера</t>
  </si>
  <si>
    <t xml:space="preserve">Зрелый месяц / M12</t>
  </si>
  <si>
    <t xml:space="preserve">Операционный CPU</t>
  </si>
  <si>
    <t xml:space="preserve">(F + vN) / N</t>
  </si>
  <si>
    <t xml:space="preserve">Полный CPU</t>
  </si>
  <si>
    <t xml:space="preserve">(F + vN + I/36) / N</t>
  </si>
  <si>
    <t xml:space="preserve">Операционная прибыль/мес.</t>
  </si>
  <si>
    <t xml:space="preserve">При 2000 MAU</t>
  </si>
  <si>
    <t xml:space="preserve">Полный результат/мес.</t>
  </si>
  <si>
    <t xml:space="preserve">Управленческий показатель</t>
  </si>
  <si>
    <t xml:space="preserve">Средний CPU первого года</t>
  </si>
  <si>
    <t xml:space="preserve">Деление на 8000 пользователь-месяцев, не на 2000 × 12</t>
  </si>
  <si>
    <t xml:space="preserve">Средний CPU с рисками</t>
  </si>
  <si>
    <t xml:space="preserve">Baseline / user-months</t>
  </si>
  <si>
    <t xml:space="preserve">Дефицит первого года</t>
  </si>
  <si>
    <t xml:space="preserve">Это результат, не максимальная потребность в оборотных средствах</t>
  </si>
  <si>
    <t xml:space="preserve">Пиковый кассовый разрыв</t>
  </si>
  <si>
    <t xml:space="preserve">До резервов; при поступлении комиссии в том же месяце</t>
  </si>
  <si>
    <t xml:space="preserve">Чистое финансирование с резервами</t>
  </si>
  <si>
    <t xml:space="preserve">Gross лимит сметы Budget12!N20 отдельно, без зачета выручки</t>
  </si>
  <si>
    <t xml:space="preserve">Конверсия безубыточности при 2000 MAU</t>
  </si>
  <si>
    <t xml:space="preserve">Операционная, при неизменном среднем чеке и комиссии</t>
  </si>
  <si>
    <t xml:space="preserve">Ставка дисконтирования исходного кейса</t>
  </si>
  <si>
    <t xml:space="preserve">Только справочно; TCO здесь недисконтированный</t>
  </si>
  <si>
    <t xml:space="preserve">MAU каждого из 9 рабочих месяцев для окупаемости за год</t>
  </si>
  <si>
    <t xml:space="preserve">Без резервов: N1–N3=0, одинаковый MAU M4–M12; выше 2000 — требует новой оценки мощности</t>
  </si>
  <si>
    <t xml:space="preserve">Сценарий</t>
  </si>
  <si>
    <t xml:space="preserve">Конверсия</t>
  </si>
  <si>
    <t xml:space="preserve">Комиссия</t>
  </si>
  <si>
    <t xml:space="preserve">Расход/MAU, тг</t>
  </si>
  <si>
    <t xml:space="preserve">Вклад/MAU, тг</t>
  </si>
  <si>
    <t xml:space="preserve">Fixed/мес., тг</t>
  </si>
  <si>
    <t xml:space="preserve">MAU операц.</t>
  </si>
  <si>
    <t xml:space="preserve">MAU полный</t>
  </si>
  <si>
    <t xml:space="preserve">База</t>
  </si>
  <si>
    <t xml:space="preserve">Конверсия 2%</t>
  </si>
  <si>
    <t xml:space="preserve">Конверсия 1%</t>
  </si>
  <si>
    <t xml:space="preserve">Комиссия 5%</t>
  </si>
  <si>
    <t xml:space="preserve">Переменные расходы на MAU × 2</t>
  </si>
  <si>
    <t xml:space="preserve">Опубликованные cloud-тарифы +30%</t>
  </si>
  <si>
    <t xml:space="preserve">Конверсия 0% / комиссии не согласованы</t>
  </si>
  <si>
    <t xml:space="preserve">Курс меняет только валютные тарифы; местные сметные значения в тенге фиксированы</t>
  </si>
  <si>
    <t xml:space="preserve">Валютный сценарий</t>
  </si>
  <si>
    <t xml:space="preserve">Изменение курса</t>
  </si>
  <si>
    <t xml:space="preserve">Курс валюты, тг/ед.</t>
  </si>
  <si>
    <t xml:space="preserve">Cloud OPEX, тг/мес.</t>
  </si>
  <si>
    <t xml:space="preserve">F, тг/мес.</t>
  </si>
  <si>
    <t xml:space="preserve">Cloud TCO 36 мес., тг</t>
  </si>
  <si>
    <t xml:space="preserve">Курс −20%</t>
  </si>
  <si>
    <t xml:space="preserve">Курс базовый</t>
  </si>
  <si>
    <t xml:space="preserve">Курс +20%</t>
  </si>
  <si>
    <t xml:space="preserve">SLO availability/success</t>
  </si>
  <si>
    <t xml:space="preserve">SLA availability/success</t>
  </si>
  <si>
    <t xml:space="preserve">Минут в месяце</t>
  </si>
  <si>
    <t xml:space="preserve">SLO бюджет, мин.</t>
  </si>
  <si>
    <t xml:space="preserve">SLA бюджет, мин.</t>
  </si>
  <si>
    <t xml:space="preserve">Пример попыток N</t>
  </si>
  <si>
    <t xml:space="preserve">SLO ошибок, floor</t>
  </si>
  <si>
    <t xml:space="preserve">SLA ошибок, floor</t>
  </si>
  <si>
    <t xml:space="preserve">SLO p95 E2E, сек.</t>
  </si>
  <si>
    <t xml:space="preserve">SLA p95 E2E, сек.</t>
  </si>
  <si>
    <t xml:space="preserve">Бюджет медленных &gt;2 сек.</t>
  </si>
  <si>
    <t xml:space="preserve">C1 Каталог/карточка</t>
  </si>
  <si>
    <t xml:space="preserve">C2 Вход/профиль</t>
  </si>
  <si>
    <t xml:space="preserve">C3 Отправка заявки/результат</t>
  </si>
  <si>
    <t xml:space="preserve">Календарных дней</t>
  </si>
  <si>
    <t xml:space="preserve">Минут</t>
  </si>
  <si>
    <t xml:space="preserve">SLO99.9 budget</t>
  </si>
  <si>
    <t xml:space="preserve">SLO99.8 budget</t>
  </si>
  <si>
    <t xml:space="preserve">SLO99.7 budget</t>
  </si>
  <si>
    <t xml:space="preserve">SLA99.5 budget</t>
  </si>
  <si>
    <t xml:space="preserve">Проверка</t>
  </si>
  <si>
    <t xml:space="preserve">Результат</t>
  </si>
  <si>
    <t xml:space="preserve">Ожидается</t>
  </si>
  <si>
    <t xml:space="preserve">Год по статьям минус месяцы</t>
  </si>
  <si>
    <t xml:space="preserve">Baseline минус план/EMV</t>
  </si>
  <si>
    <t xml:space="preserve">Лимит минус baseline/управление</t>
  </si>
  <si>
    <t xml:space="preserve">Поток = выручка − расходы</t>
  </si>
  <si>
    <t xml:space="preserve">Cloud TCO минус статьи</t>
  </si>
  <si>
    <t xml:space="preserve">Own TCO минус статьи</t>
  </si>
  <si>
    <t xml:space="preserve">Rent TCO минус статьи</t>
  </si>
  <si>
    <t xml:space="preserve">Разовые затраты не задвоены</t>
  </si>
  <si>
    <t xml:space="preserve">Недостающие часы при полном резерве</t>
  </si>
  <si>
    <t xml:space="preserve">Порог: N-1 убыточен</t>
  </si>
  <si>
    <t xml:space="preserve">Порог: N не убыточен</t>
  </si>
  <si>
    <t xml:space="preserve">Полный порог: N-1 убыточен</t>
  </si>
  <si>
    <t xml:space="preserve">Полный порог: N не убыточен</t>
  </si>
  <si>
    <t xml:space="preserve">Курс положителен</t>
  </si>
  <si>
    <t xml:space="preserve">Тариф VM переведен в тенге</t>
  </si>
  <si>
    <t xml:space="preserve">Backup fraction без валютной конвертации</t>
  </si>
  <si>
    <t xml:space="preserve">Базовый валютный сценарий: OPEX</t>
  </si>
  <si>
    <t xml:space="preserve">Базовый валютный сценарий: TCO</t>
  </si>
  <si>
    <t xml:space="preserve">Распределение риск-резерва в тенге</t>
  </si>
  <si>
    <t xml:space="preserve">ID</t>
  </si>
  <si>
    <t xml:space="preserve">URL</t>
  </si>
  <si>
    <t xml:space="preserve">Проверено</t>
  </si>
  <si>
    <t xml:space="preserve">Использование</t>
  </si>
  <si>
    <t xml:space="preserve">S01</t>
  </si>
  <si>
    <t xml:space="preserve">DigitalOcean: официальный калькулятор</t>
  </si>
  <si>
    <t xml:space="preserve">https://www.digitalocean.com/pricing/calculator</t>
  </si>
  <si>
    <t xml:space="preserve">23.10.2026</t>
  </si>
  <si>
    <t xml:space="preserve">Расчет без входа и платежей; параметры и снимок — evidence/</t>
  </si>
  <si>
    <t xml:space="preserve">DigitalOcean: Droplets</t>
  </si>
  <si>
    <t xml:space="preserve">https://www.digitalocean.com/pricing/droplets</t>
  </si>
  <si>
    <t xml:space="preserve">Basic Regular: 2 vCPU / 4 GiB / 80 GiB — $24; мониторинг 1 vCPU / 1 GiB — $6/мес.</t>
  </si>
  <si>
    <t xml:space="preserve">DigitalOcean: Managed Databases</t>
  </si>
  <si>
    <t xml:space="preserve">https://www.digitalocean.com/pricing/managed-databases</t>
  </si>
  <si>
    <t xml:space="preserve">PostgreSQL Standard Basic Regular, 1 vCPU / 2 GiB, минимум 30 GiB, без standby: $30,45/мес.</t>
  </si>
  <si>
    <t xml:space="preserve">DigitalOcean: Backups Pricing</t>
  </si>
  <si>
    <t xml:space="preserve">https://docs.digitalocean.com/products/backups/details/pricing/</t>
  </si>
  <si>
    <t xml:space="preserve">Daily Basic: 30% от стоимости Droplet; $24 × 30% = $7,20/мес.</t>
  </si>
  <si>
    <t xml:space="preserve">DigitalOcean: Spaces</t>
  </si>
  <si>
    <t xml:space="preserve">https://www.digitalocean.com/pricing/spaces-object-storage</t>
  </si>
  <si>
    <t xml:space="preserve">$5/мес.: 250 GiB, 1 TiB исходящего трафика; сверх лимита $0,02/GiB хранения и $0,01/GiB трафика.</t>
  </si>
  <si>
    <t xml:space="preserve">Hetzner: изменение тарифов с 15.06.2026</t>
  </si>
  <si>
    <t xml:space="preserve">https://docs.hetzner.com/general/infrastructure-and-availability/price-adjustment/</t>
  </si>
  <si>
    <t xml:space="preserve">AX42-1, FSN/HEL: $117,10/мес., setup $59; без IPv4 и налогов. Берется обычный тариф, не limited offering.</t>
  </si>
  <si>
    <t xml:space="preserve">Hetzner: IP pricing</t>
  </si>
  <si>
    <t xml:space="preserve">https://docs.hetzner.com/general/infrastructure-and-availability/ipv4-pricing/</t>
  </si>
  <si>
    <t xml:space="preserve">Primary IPv4 dedicated: $1,90/мес., setup $0.</t>
  </si>
  <si>
    <t xml:space="preserve">S08</t>
  </si>
  <si>
    <t xml:space="preserve">Hetzner: AX42</t>
  </si>
  <si>
    <t xml:space="preserve">https://www.hetzner.com/dedicated-rootserver/ax42/</t>
  </si>
  <si>
    <t xml:space="preserve">Ryzen 7 PRO 8700GE, 64 GB ECC, 2 × 512 GB NVMe, 1 Gbit/s; конфигурация для открытого стека.</t>
  </si>
  <si>
    <t xml:space="preserve">S09</t>
  </si>
  <si>
    <t xml:space="preserve">Google SRE: Implementing SLOs</t>
  </si>
  <si>
    <t xml:space="preserve">https://sre.google/workbook/implementing-slos/</t>
  </si>
  <si>
    <t xml:space="preserve">Методическая основа: пользовательский сценарий, SLI, измеримый SLO и пересмотр целей.</t>
  </si>
  <si>
    <t xml:space="preserve">S10</t>
  </si>
  <si>
    <t xml:space="preserve">Google SRE: Error Budget Policy</t>
  </si>
  <si>
    <t xml:space="preserve">https://sre.google/workbook/error-budget-policy/</t>
  </si>
  <si>
    <t xml:space="preserve">Методическая основа: error budget = 1 − SLO; при исчерпании приоритет получают надежность и безопасность.</t>
  </si>
  <si>
    <t xml:space="preserve">S11</t>
  </si>
  <si>
    <t xml:space="preserve">Национальный Банк РК: курс сметы</t>
  </si>
  <si>
    <t xml:space="preserve">Официальный исторический RSS за 23.10.2026, 447,94 тенге за единицу валюты провайдера; исходный XML сохранен в evidence/nbrk-2026-10-23.xml.</t>
  </si>
  <si>
    <t xml:space="preserve">FX01</t>
  </si>
  <si>
    <t xml:space="preserve">Курс перевода в тенге</t>
  </si>
  <si>
    <t xml:space="preserve">Курс на FX; исходные тарифы сохраняются в валюте публикации, финансовые результаты показаны в тенге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</si>
</sst>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&quot; тг/USD&quot;"/>
    <numFmt numFmtId="166" formatCode="#,##0.00;[RED]\-#,##0.00;0.00"/>
    <numFmt numFmtId="167" formatCode="#,##0.0000;[RED]\-#,##0.0000;0.0000"/>
    <numFmt numFmtId="168" formatCode="0.0%"/>
    <numFmt numFmtId="169" formatCode="0.00"/>
    <numFmt numFmtId="170" formatCode="#,##0"/>
    <numFmt numFmtId="171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25333A"/>
      <name val="Calibri"/>
      <family val="0"/>
      <charset val="1"/>
    </font>
    <font>
      <sz val="10"/>
      <color rgb="FF1767B3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23D4A"/>
        <bgColor rgb="FF25333A"/>
      </patternFill>
    </fill>
    <fill>
      <patternFill patternType="solid">
        <fgColor rgb="FFEFF5F4"/>
        <bgColor rgb="FFFFFFFF"/>
      </patternFill>
    </fill>
    <fill>
      <patternFill patternType="solid">
        <fgColor rgb="FFFFFFFF"/>
        <bgColor rgb="FFEFF5F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23D4A"/>
          <bgColor rgb="FF000000"/>
        </patternFill>
      </fill>
    </dxf>
    <dxf>
      <fill>
        <patternFill patternType="solid">
          <fgColor rgb="FFEFF5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33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767B3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EFF5F4"/>
      <rgbColor rgb="FFCCFFFF"/>
      <rgbColor rgb="FF660066"/>
      <rgbColor rgb="FFFF8080"/>
      <rgbColor rgb="FF1767B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23D4A"/>
      <rgbColor rgb="FF339966"/>
      <rgbColor rgb="FF003300"/>
      <rgbColor rgb="FF333300"/>
      <rgbColor rgb="FF993300"/>
      <rgbColor rgb="FF993366"/>
      <rgbColor rgb="FF333399"/>
      <rgbColor rgb="FF253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TCO размещения за 36 месяцев / тенге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Hosting!$B$1:$D$1</c:f>
              <c:strCache>
                <c:ptCount val="3"/>
                <c:pt idx="0">
                  <c:v>Cloud managed</c:v>
                </c:pt>
                <c:pt idx="1">
                  <c:v>Собственное</c:v>
                </c:pt>
                <c:pt idx="2">
                  <c:v>Open stack dedicated</c:v>
                </c:pt>
              </c:strCache>
            </c:strRef>
          </c:cat>
          <c:val>
            <c:numRef>
              <c:f>Hosting!$B$15:$D$15</c:f>
              <c:numCache>
                <c:formatCode>#,##0.00;[RED]\-#,##0.00;0.00</c:formatCode>
                <c:ptCount val="3"/>
                <c:pt idx="0">
                  <c:v>1850619.316</c:v>
                </c:pt>
                <c:pt idx="1">
                  <c:v>4088509.6384</c:v>
                </c:pt>
                <c:pt idx="2">
                  <c:v>3464815.9</c:v>
                </c:pt>
              </c:numCache>
            </c:numRef>
          </c:val>
        </c:ser>
        <c:gapWidth val="150"/>
        <c:overlap val="0"/>
        <c:axId val="46051362"/>
        <c:axId val="49797354"/>
      </c:barChart>
      <c:catAx>
        <c:axId val="460513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797354"/>
        <c:crosses val="autoZero"/>
        <c:auto val="1"/>
        <c:lblAlgn val="ctr"/>
        <c:lblOffset val="100"/>
        <c:noMultiLvlLbl val="0"/>
      </c:catAx>
      <c:valAx>
        <c:axId val="497973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тг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[RED]\-#,##0.00;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0513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Прогноз затрат и выручки / тенге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Budget12!$B$1:$M$1</c:f>
              <c:strCache>
                <c:ptCount val="12"/>
                <c:pt idx="0">
                  <c:v>M1 09.2026</c:v>
                </c:pt>
                <c:pt idx="1">
                  <c:v>M2 10.2026</c:v>
                </c:pt>
                <c:pt idx="2">
                  <c:v>M3 11.2026</c:v>
                </c:pt>
                <c:pt idx="3">
                  <c:v>M4 12.2026</c:v>
                </c:pt>
                <c:pt idx="4">
                  <c:v>M5 01.2027</c:v>
                </c:pt>
                <c:pt idx="5">
                  <c:v>M6 02.2027</c:v>
                </c:pt>
                <c:pt idx="6">
                  <c:v>M7 03.2027</c:v>
                </c:pt>
                <c:pt idx="7">
                  <c:v>M8 04.2027</c:v>
                </c:pt>
                <c:pt idx="8">
                  <c:v>M9 05.2027</c:v>
                </c:pt>
                <c:pt idx="9">
                  <c:v>M10 06.2027</c:v>
                </c:pt>
                <c:pt idx="10">
                  <c:v>M11 07.2027</c:v>
                </c:pt>
                <c:pt idx="11">
                  <c:v>M12 08.2027</c:v>
                </c:pt>
              </c:strCache>
            </c:strRef>
          </c:cat>
          <c:val>
            <c:numRef>
              <c:f>Budget12!$B$12:$M$12</c:f>
              <c:numCache>
                <c:formatCode>#,##0.00;[RED]\-#,##0.00;0.00</c:formatCode>
                <c:ptCount val="12"/>
                <c:pt idx="0">
                  <c:v>2756465.981</c:v>
                </c:pt>
                <c:pt idx="1">
                  <c:v>2738548.381</c:v>
                </c:pt>
                <c:pt idx="2">
                  <c:v>3768810.381</c:v>
                </c:pt>
                <c:pt idx="3">
                  <c:v>552601.181</c:v>
                </c:pt>
                <c:pt idx="4">
                  <c:v>337589.981</c:v>
                </c:pt>
                <c:pt idx="5">
                  <c:v>355507.581</c:v>
                </c:pt>
                <c:pt idx="6">
                  <c:v>373425.181</c:v>
                </c:pt>
                <c:pt idx="7">
                  <c:v>391342.781</c:v>
                </c:pt>
                <c:pt idx="8">
                  <c:v>409260.381</c:v>
                </c:pt>
                <c:pt idx="9">
                  <c:v>436136.781</c:v>
                </c:pt>
                <c:pt idx="10">
                  <c:v>463013.181</c:v>
                </c:pt>
                <c:pt idx="11">
                  <c:v>498848.381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Budget12!$B$1:$M$1</c:f>
              <c:strCache>
                <c:ptCount val="12"/>
                <c:pt idx="0">
                  <c:v>M1 09.2026</c:v>
                </c:pt>
                <c:pt idx="1">
                  <c:v>M2 10.2026</c:v>
                </c:pt>
                <c:pt idx="2">
                  <c:v>M3 11.2026</c:v>
                </c:pt>
                <c:pt idx="3">
                  <c:v>M4 12.2026</c:v>
                </c:pt>
                <c:pt idx="4">
                  <c:v>M5 01.2027</c:v>
                </c:pt>
                <c:pt idx="5">
                  <c:v>M6 02.2027</c:v>
                </c:pt>
                <c:pt idx="6">
                  <c:v>M7 03.2027</c:v>
                </c:pt>
                <c:pt idx="7">
                  <c:v>M8 04.2027</c:v>
                </c:pt>
                <c:pt idx="8">
                  <c:v>M9 05.2027</c:v>
                </c:pt>
                <c:pt idx="9">
                  <c:v>M10 06.2027</c:v>
                </c:pt>
                <c:pt idx="10">
                  <c:v>M11 07.2027</c:v>
                </c:pt>
                <c:pt idx="11">
                  <c:v>M12 08.2027</c:v>
                </c:pt>
              </c:strCache>
            </c:strRef>
          </c:cat>
          <c:val>
            <c:numRef>
              <c:f>Budget12!$B$13:$M$13</c:f>
              <c:numCache>
                <c:formatCode>#,##0.00;[RED]\-#,##0.00;0.00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53752.8</c:v>
                </c:pt>
                <c:pt idx="4">
                  <c:v>107505.6</c:v>
                </c:pt>
                <c:pt idx="5">
                  <c:v>215011.2</c:v>
                </c:pt>
                <c:pt idx="6">
                  <c:v>322516.8</c:v>
                </c:pt>
                <c:pt idx="7">
                  <c:v>430022.4</c:v>
                </c:pt>
                <c:pt idx="8">
                  <c:v>537528</c:v>
                </c:pt>
                <c:pt idx="9">
                  <c:v>698786.4</c:v>
                </c:pt>
                <c:pt idx="10">
                  <c:v>860044.8</c:v>
                </c:pt>
                <c:pt idx="11">
                  <c:v>1075056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872681"/>
        <c:axId val="38551373"/>
      </c:lineChart>
      <c:catAx>
        <c:axId val="338726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551373"/>
        <c:crosses val="autoZero"/>
        <c:auto val="1"/>
        <c:lblAlgn val="ctr"/>
        <c:lblOffset val="100"/>
        <c:noMultiLvlLbl val="0"/>
      </c:catAx>
      <c:valAx>
        <c:axId val="385513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тг/мес.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[RED]\-#,##0.00;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8726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3</xdr:col>
      <xdr:colOff>998640</xdr:colOff>
      <xdr:row>39</xdr:row>
      <xdr:rowOff>170640</xdr:rowOff>
    </xdr:to>
    <xdr:graphicFrame>
      <xdr:nvGraphicFramePr>
        <xdr:cNvPr id="0" name="Chart 1"/>
        <xdr:cNvGraphicFramePr/>
      </xdr:nvGraphicFramePr>
      <xdr:xfrm>
        <a:off x="0" y="9067680"/>
        <a:ext cx="89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3</xdr:col>
      <xdr:colOff>1718640</xdr:colOff>
      <xdr:row>42</xdr:row>
      <xdr:rowOff>149760</xdr:rowOff>
    </xdr:to>
    <xdr:graphicFrame>
      <xdr:nvGraphicFramePr>
        <xdr:cNvPr id="1" name="Chart 1"/>
        <xdr:cNvGraphicFramePr/>
      </xdr:nvGraphicFramePr>
      <xdr:xfrm>
        <a:off x="0" y="8077320"/>
        <a:ext cx="97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nationalbank.kz/rss/get_rates.cfm?fdate=23.10.2026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10"/>
  </cols>
  <sheetData>
    <row r="1" customFormat="false" ht="36" hidden="false" customHeight="true" outlineLevel="0" collapsed="false">
      <c r="A1" s="1" t="s">
        <v>0</v>
      </c>
      <c r="B1" s="1" t="s">
        <v>1</v>
      </c>
    </row>
    <row r="2" customFormat="false" ht="36" hidden="false" customHeight="true" outlineLevel="0" collapsed="false">
      <c r="A2" s="2" t="s">
        <v>2</v>
      </c>
      <c r="B2" s="2" t="s">
        <v>3</v>
      </c>
    </row>
    <row r="3" customFormat="false" ht="36" hidden="false" customHeight="true" outlineLevel="0" collapsed="false">
      <c r="A3" s="3" t="s">
        <v>4</v>
      </c>
      <c r="B3" s="3" t="s">
        <v>5</v>
      </c>
    </row>
    <row r="4" customFormat="false" ht="36" hidden="false" customHeight="true" outlineLevel="0" collapsed="false">
      <c r="A4" s="2" t="s">
        <v>6</v>
      </c>
      <c r="B4" s="2" t="s">
        <v>7</v>
      </c>
    </row>
    <row r="5" customFormat="false" ht="36" hidden="false" customHeight="true" outlineLevel="0" collapsed="false">
      <c r="A5" s="3" t="s">
        <v>8</v>
      </c>
      <c r="B5" s="3" t="s">
        <v>9</v>
      </c>
    </row>
    <row r="6" customFormat="false" ht="36" hidden="false" customHeight="true" outlineLevel="0" collapsed="false">
      <c r="A6" s="2" t="s">
        <v>10</v>
      </c>
      <c r="B6" s="2" t="s">
        <v>11</v>
      </c>
    </row>
    <row r="7" customFormat="false" ht="36" hidden="false" customHeight="true" outlineLevel="0" collapsed="false">
      <c r="A7" s="3" t="s">
        <v>12</v>
      </c>
      <c r="B7" s="3" t="s">
        <v>13</v>
      </c>
    </row>
    <row r="8" customFormat="false" ht="36" hidden="false" customHeight="true" outlineLevel="0" collapsed="false">
      <c r="A8" s="2" t="s">
        <v>14</v>
      </c>
      <c r="B8" s="2" t="s">
        <v>15</v>
      </c>
    </row>
    <row r="9" customFormat="false" ht="36" hidden="false" customHeight="true" outlineLevel="0" collapsed="false">
      <c r="A9" s="3" t="s">
        <v>16</v>
      </c>
      <c r="B9" s="3" t="s">
        <v>17</v>
      </c>
    </row>
    <row r="10" customFormat="false" ht="36" hidden="false" customHeight="true" outlineLevel="0" collapsed="false">
      <c r="A10" s="2" t="s">
        <v>18</v>
      </c>
      <c r="B10" s="2" t="s">
        <v>19</v>
      </c>
    </row>
    <row r="11" customFormat="false" ht="36" hidden="false" customHeight="true" outlineLevel="0" collapsed="false">
      <c r="A11" s="3" t="s">
        <v>20</v>
      </c>
      <c r="B11" s="3" t="s">
        <v>21</v>
      </c>
    </row>
    <row r="12" customFormat="false" ht="36" hidden="false" customHeight="true" outlineLevel="0" collapsed="false">
      <c r="A12" s="2" t="s">
        <v>22</v>
      </c>
      <c r="B12" s="2" t="s">
        <v>23</v>
      </c>
    </row>
    <row r="13" customFormat="false" ht="36" hidden="false" customHeight="true" outlineLevel="0" collapsed="false">
      <c r="A13" s="3" t="s">
        <v>24</v>
      </c>
      <c r="B13" s="3" t="s">
        <v>25</v>
      </c>
    </row>
  </sheetData>
  <autoFilter ref="A1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7"/>
    <col collapsed="false" customWidth="true" hidden="false" outlineLevel="0" max="2" min="2" style="0" width="67"/>
    <col collapsed="false" customWidth="true" hidden="false" outlineLevel="0" max="3" min="3" style="0" width="110"/>
  </cols>
  <sheetData>
    <row r="1" customFormat="false" ht="36" hidden="false" customHeight="true" outlineLevel="0" collapsed="false">
      <c r="A1" s="1" t="s">
        <v>26</v>
      </c>
      <c r="B1" s="1" t="s">
        <v>27</v>
      </c>
      <c r="C1" s="1" t="s">
        <v>28</v>
      </c>
    </row>
    <row r="2" customFormat="false" ht="42" hidden="false" customHeight="true" outlineLevel="0" collapsed="false">
      <c r="A2" s="2" t="s">
        <v>29</v>
      </c>
      <c r="B2" s="2" t="s">
        <v>30</v>
      </c>
      <c r="C2" s="2" t="s">
        <v>31</v>
      </c>
    </row>
    <row r="3" customFormat="false" ht="42" hidden="false" customHeight="true" outlineLevel="0" collapsed="false">
      <c r="A3" s="4" t="s">
        <v>32</v>
      </c>
      <c r="B3" s="4" t="s">
        <v>33</v>
      </c>
      <c r="C3" s="4" t="s">
        <v>34</v>
      </c>
    </row>
    <row r="4" customFormat="false" ht="42" hidden="false" customHeight="true" outlineLevel="0" collapsed="false">
      <c r="A4" s="2" t="s">
        <v>35</v>
      </c>
      <c r="B4" s="5" t="n">
        <v>447.94</v>
      </c>
      <c r="C4" s="2" t="s">
        <v>36</v>
      </c>
    </row>
    <row r="5" customFormat="false" ht="42" hidden="false" customHeight="true" outlineLevel="0" collapsed="false">
      <c r="A5" s="4" t="s">
        <v>37</v>
      </c>
      <c r="B5" s="6" t="s">
        <v>38</v>
      </c>
      <c r="C5" s="4" t="s">
        <v>39</v>
      </c>
    </row>
    <row r="6" customFormat="false" ht="42" hidden="false" customHeight="true" outlineLevel="0" collapsed="false">
      <c r="A6" s="2" t="s">
        <v>40</v>
      </c>
      <c r="B6" s="7" t="s">
        <v>41</v>
      </c>
      <c r="C6" s="2" t="s">
        <v>42</v>
      </c>
    </row>
    <row r="7" customFormat="false" ht="42" hidden="false" customHeight="true" outlineLevel="0" collapsed="false">
      <c r="A7" s="4" t="s">
        <v>43</v>
      </c>
      <c r="B7" s="4" t="s">
        <v>44</v>
      </c>
      <c r="C7" s="4" t="s">
        <v>45</v>
      </c>
    </row>
    <row r="8" customFormat="false" ht="42" hidden="false" customHeight="true" outlineLevel="0" collapsed="false">
      <c r="A8" s="2" t="s">
        <v>46</v>
      </c>
      <c r="B8" s="2" t="s">
        <v>47</v>
      </c>
      <c r="C8" s="2" t="s">
        <v>48</v>
      </c>
    </row>
    <row r="9" customFormat="false" ht="42" hidden="false" customHeight="true" outlineLevel="0" collapsed="false">
      <c r="A9" s="4" t="s">
        <v>49</v>
      </c>
      <c r="B9" s="4" t="s">
        <v>50</v>
      </c>
      <c r="C9" s="4" t="s">
        <v>51</v>
      </c>
    </row>
    <row r="10" customFormat="false" ht="42" hidden="false" customHeight="true" outlineLevel="0" collapsed="false">
      <c r="A10" s="2" t="s">
        <v>52</v>
      </c>
      <c r="B10" s="2" t="s">
        <v>53</v>
      </c>
      <c r="C10" s="2" t="s">
        <v>54</v>
      </c>
    </row>
  </sheetData>
  <dataValidations count="1">
    <dataValidation allowBlank="false" error="Укажите число тенге за 1 USD больше нуля." errorStyle="stop" errorTitle="Курс должен быть положительным" operator="greaterThan" showDropDown="false" showErrorMessage="true" showInputMessage="false" sqref="B4" type="decimal">
      <formula1>0</formula1>
      <formula2>0</formula2>
    </dataValidation>
  </dataValidations>
  <hyperlinks>
    <hyperlink ref="B6" r:id="rId1" display="https://nationalbank.kz/rss/get_rates.cfm?fdate=23.10.20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1"/>
    <col collapsed="false" customWidth="true" hidden="false" outlineLevel="0" max="3" min="3" style="0" width="30"/>
    <col collapsed="false" customWidth="true" hidden="false" outlineLevel="0" max="4" min="4" style="0" width="95"/>
  </cols>
  <sheetData>
    <row r="1" customFormat="false" ht="36" hidden="false" customHeight="true" outlineLevel="0" collapsed="false">
      <c r="A1" s="1" t="s">
        <v>55</v>
      </c>
      <c r="B1" s="1" t="s">
        <v>27</v>
      </c>
      <c r="C1" s="1" t="s">
        <v>56</v>
      </c>
      <c r="D1" s="1" t="s">
        <v>57</v>
      </c>
    </row>
    <row r="2" customFormat="false" ht="36" hidden="false" customHeight="true" outlineLevel="0" collapsed="false">
      <c r="A2" s="2" t="s">
        <v>58</v>
      </c>
      <c r="B2" s="8" t="n">
        <v>8062920</v>
      </c>
      <c r="C2" s="2" t="s">
        <v>59</v>
      </c>
      <c r="D2" s="2" t="s">
        <v>60</v>
      </c>
    </row>
    <row r="3" customFormat="false" ht="36" hidden="false" customHeight="true" outlineLevel="0" collapsed="false">
      <c r="A3" s="3" t="s">
        <v>61</v>
      </c>
      <c r="B3" s="9" t="n">
        <v>671910</v>
      </c>
      <c r="C3" s="3" t="s">
        <v>59</v>
      </c>
      <c r="D3" s="3" t="s">
        <v>62</v>
      </c>
    </row>
    <row r="4" customFormat="false" ht="36" hidden="false" customHeight="true" outlineLevel="0" collapsed="false">
      <c r="A4" s="2" t="s">
        <v>63</v>
      </c>
      <c r="B4" s="8" t="n">
        <v>358352</v>
      </c>
      <c r="C4" s="2" t="s">
        <v>59</v>
      </c>
      <c r="D4" s="2" t="s">
        <v>62</v>
      </c>
    </row>
    <row r="5" customFormat="false" ht="36" hidden="false" customHeight="true" outlineLevel="0" collapsed="false">
      <c r="A5" s="3" t="s">
        <v>64</v>
      </c>
      <c r="B5" s="9" t="n">
        <v>223970</v>
      </c>
      <c r="C5" s="3" t="s">
        <v>59</v>
      </c>
      <c r="D5" s="3" t="s">
        <v>65</v>
      </c>
    </row>
    <row r="6" customFormat="false" ht="36" hidden="false" customHeight="true" outlineLevel="0" collapsed="false">
      <c r="A6" s="2" t="s">
        <v>66</v>
      </c>
      <c r="B6" s="8" t="n">
        <v>223970</v>
      </c>
      <c r="C6" s="2" t="s">
        <v>67</v>
      </c>
      <c r="D6" s="2" t="s">
        <v>68</v>
      </c>
    </row>
    <row r="7" customFormat="false" ht="36" hidden="false" customHeight="true" outlineLevel="0" collapsed="false">
      <c r="A7" s="3" t="s">
        <v>69</v>
      </c>
      <c r="B7" s="9" t="n">
        <v>44794</v>
      </c>
      <c r="C7" s="3" t="s">
        <v>67</v>
      </c>
      <c r="D7" s="3" t="s">
        <v>70</v>
      </c>
    </row>
    <row r="8" customFormat="false" ht="36" hidden="false" customHeight="true" outlineLevel="0" collapsed="false">
      <c r="A8" s="2" t="s">
        <v>71</v>
      </c>
      <c r="B8" s="10" t="n">
        <v>89.588</v>
      </c>
      <c r="C8" s="2" t="s">
        <v>72</v>
      </c>
      <c r="D8" s="2" t="s">
        <v>73</v>
      </c>
    </row>
    <row r="9" customFormat="false" ht="36" hidden="false" customHeight="true" outlineLevel="0" collapsed="false">
      <c r="A9" s="3" t="s">
        <v>74</v>
      </c>
      <c r="B9" s="9" t="n">
        <v>223970</v>
      </c>
      <c r="C9" s="3" t="s">
        <v>75</v>
      </c>
      <c r="D9" s="3" t="s">
        <v>76</v>
      </c>
    </row>
    <row r="10" customFormat="false" ht="36" hidden="false" customHeight="true" outlineLevel="0" collapsed="false">
      <c r="A10" s="2" t="s">
        <v>77</v>
      </c>
      <c r="B10" s="11" t="n">
        <v>0.03</v>
      </c>
      <c r="C10" s="2" t="s">
        <v>78</v>
      </c>
      <c r="D10" s="2" t="s">
        <v>79</v>
      </c>
    </row>
    <row r="11" customFormat="false" ht="36" hidden="false" customHeight="true" outlineLevel="0" collapsed="false">
      <c r="A11" s="3" t="s">
        <v>80</v>
      </c>
      <c r="B11" s="12" t="n">
        <v>0.08</v>
      </c>
      <c r="C11" s="3" t="s">
        <v>81</v>
      </c>
      <c r="D11" s="3" t="s">
        <v>82</v>
      </c>
    </row>
    <row r="12" customFormat="false" ht="36" hidden="false" customHeight="true" outlineLevel="0" collapsed="false">
      <c r="A12" s="2" t="s">
        <v>83</v>
      </c>
      <c r="B12" s="8" t="n">
        <v>4479.4</v>
      </c>
      <c r="C12" s="2" t="s">
        <v>84</v>
      </c>
      <c r="D12" s="2" t="s">
        <v>85</v>
      </c>
    </row>
    <row r="13" customFormat="false" ht="36" hidden="false" customHeight="true" outlineLevel="0" collapsed="false">
      <c r="A13" s="3" t="s">
        <v>86</v>
      </c>
      <c r="B13" s="9" t="n">
        <v>4</v>
      </c>
      <c r="C13" s="3" t="s">
        <v>87</v>
      </c>
      <c r="D13" s="3" t="s">
        <v>88</v>
      </c>
    </row>
    <row r="14" customFormat="false" ht="36" hidden="false" customHeight="true" outlineLevel="0" collapsed="false">
      <c r="A14" s="2" t="s">
        <v>89</v>
      </c>
      <c r="B14" s="8" t="n">
        <v>12</v>
      </c>
      <c r="C14" s="2" t="s">
        <v>87</v>
      </c>
      <c r="D14" s="2" t="s">
        <v>90</v>
      </c>
    </row>
    <row r="15" customFormat="false" ht="36" hidden="false" customHeight="true" outlineLevel="0" collapsed="false">
      <c r="A15" s="3" t="s">
        <v>91</v>
      </c>
      <c r="B15" s="9" t="n">
        <v>8</v>
      </c>
      <c r="C15" s="3" t="s">
        <v>87</v>
      </c>
      <c r="D15" s="3" t="s">
        <v>90</v>
      </c>
    </row>
    <row r="16" customFormat="false" ht="36" hidden="false" customHeight="true" outlineLevel="0" collapsed="false">
      <c r="A16" s="2" t="s">
        <v>92</v>
      </c>
      <c r="B16" s="8" t="n">
        <v>447.94</v>
      </c>
      <c r="C16" s="2" t="s">
        <v>93</v>
      </c>
      <c r="D16" s="2" t="s">
        <v>94</v>
      </c>
    </row>
    <row r="17" customFormat="false" ht="36" hidden="false" customHeight="true" outlineLevel="0" collapsed="false">
      <c r="A17" s="3" t="s">
        <v>95</v>
      </c>
      <c r="B17" s="13" t="n">
        <v>63.2</v>
      </c>
      <c r="C17" s="3" t="s">
        <v>96</v>
      </c>
      <c r="D17" s="3" t="s">
        <v>97</v>
      </c>
    </row>
    <row r="18" customFormat="false" ht="36" hidden="false" customHeight="true" outlineLevel="0" collapsed="false">
      <c r="A18" s="2" t="s">
        <v>98</v>
      </c>
      <c r="B18" s="8" t="n">
        <v>16</v>
      </c>
      <c r="C18" s="2" t="s">
        <v>96</v>
      </c>
      <c r="D18" s="2" t="s">
        <v>99</v>
      </c>
    </row>
    <row r="19" customFormat="false" ht="36" hidden="false" customHeight="true" outlineLevel="0" collapsed="false">
      <c r="A19" s="3" t="s">
        <v>100</v>
      </c>
      <c r="B19" s="9" t="n">
        <v>171</v>
      </c>
      <c r="C19" s="3" t="s">
        <v>96</v>
      </c>
      <c r="D19" s="3" t="s">
        <v>101</v>
      </c>
    </row>
    <row r="20" customFormat="false" ht="36" hidden="false" customHeight="true" outlineLevel="0" collapsed="false">
      <c r="A20" s="2" t="s">
        <v>102</v>
      </c>
      <c r="B20" s="8" t="n">
        <v>204</v>
      </c>
      <c r="C20" s="2" t="s">
        <v>96</v>
      </c>
      <c r="D20" s="2" t="s">
        <v>103</v>
      </c>
    </row>
    <row r="21" customFormat="false" ht="36" hidden="false" customHeight="true" outlineLevel="0" collapsed="false">
      <c r="A21" s="3" t="s">
        <v>104</v>
      </c>
      <c r="B21" s="9" t="n">
        <v>36</v>
      </c>
      <c r="C21" s="3" t="s">
        <v>105</v>
      </c>
      <c r="D21" s="3" t="s">
        <v>106</v>
      </c>
    </row>
    <row r="22" customFormat="false" ht="36" hidden="false" customHeight="true" outlineLevel="0" collapsed="false">
      <c r="A22" s="2" t="s">
        <v>107</v>
      </c>
      <c r="B22" s="8" t="n">
        <v>895880</v>
      </c>
      <c r="C22" s="2" t="s">
        <v>108</v>
      </c>
      <c r="D22" s="2" t="s">
        <v>109</v>
      </c>
    </row>
    <row r="23" customFormat="false" ht="36" hidden="false" customHeight="true" outlineLevel="0" collapsed="false">
      <c r="A23" s="3" t="s">
        <v>110</v>
      </c>
      <c r="B23" s="9" t="n">
        <v>223970</v>
      </c>
      <c r="C23" s="3" t="s">
        <v>108</v>
      </c>
      <c r="D23" s="3" t="s">
        <v>111</v>
      </c>
    </row>
    <row r="24" customFormat="false" ht="36" hidden="false" customHeight="true" outlineLevel="0" collapsed="false">
      <c r="A24" s="2" t="s">
        <v>112</v>
      </c>
      <c r="B24" s="8" t="n">
        <v>0.08</v>
      </c>
      <c r="C24" s="2" t="s">
        <v>113</v>
      </c>
      <c r="D24" s="2" t="s">
        <v>114</v>
      </c>
    </row>
    <row r="25" customFormat="false" ht="36" hidden="false" customHeight="true" outlineLevel="0" collapsed="false">
      <c r="A25" s="3" t="s">
        <v>115</v>
      </c>
      <c r="B25" s="14" t="n">
        <v>67.191</v>
      </c>
      <c r="C25" s="3" t="s">
        <v>116</v>
      </c>
      <c r="D25" s="3" t="s">
        <v>117</v>
      </c>
    </row>
    <row r="26" customFormat="false" ht="36" hidden="false" customHeight="true" outlineLevel="0" collapsed="false">
      <c r="A26" s="2" t="s">
        <v>118</v>
      </c>
      <c r="B26" s="8" t="n">
        <v>13438.2</v>
      </c>
      <c r="C26" s="2" t="s">
        <v>93</v>
      </c>
      <c r="D26" s="2" t="s">
        <v>111</v>
      </c>
    </row>
    <row r="27" customFormat="false" ht="36" hidden="false" customHeight="true" outlineLevel="0" collapsed="false">
      <c r="A27" s="3" t="s">
        <v>119</v>
      </c>
      <c r="B27" s="9" t="n">
        <v>4479.4</v>
      </c>
      <c r="C27" s="3" t="s">
        <v>93</v>
      </c>
      <c r="D27" s="3" t="s">
        <v>120</v>
      </c>
    </row>
    <row r="28" customFormat="false" ht="36" hidden="false" customHeight="true" outlineLevel="0" collapsed="false">
      <c r="A28" s="2" t="s">
        <v>121</v>
      </c>
      <c r="B28" s="8" t="n">
        <v>4</v>
      </c>
      <c r="C28" s="2" t="s">
        <v>122</v>
      </c>
      <c r="D28" s="2" t="s">
        <v>123</v>
      </c>
    </row>
    <row r="29" customFormat="false" ht="36" hidden="false" customHeight="true" outlineLevel="0" collapsed="false">
      <c r="A29" s="3" t="s">
        <v>124</v>
      </c>
      <c r="B29" s="9" t="n">
        <v>12</v>
      </c>
      <c r="C29" s="3" t="s">
        <v>122</v>
      </c>
      <c r="D29" s="3" t="s">
        <v>90</v>
      </c>
    </row>
    <row r="30" customFormat="false" ht="36" hidden="false" customHeight="true" outlineLevel="0" collapsed="false">
      <c r="A30" s="2" t="s">
        <v>125</v>
      </c>
      <c r="B30" s="8" t="n">
        <v>8</v>
      </c>
      <c r="C30" s="2" t="s">
        <v>122</v>
      </c>
      <c r="D30" s="2" t="s">
        <v>126</v>
      </c>
    </row>
    <row r="31" customFormat="false" ht="36" hidden="false" customHeight="true" outlineLevel="0" collapsed="false">
      <c r="A31" s="3" t="s">
        <v>127</v>
      </c>
      <c r="B31" s="9" t="n">
        <v>223970</v>
      </c>
      <c r="C31" s="3" t="s">
        <v>93</v>
      </c>
      <c r="D31" s="3" t="s">
        <v>128</v>
      </c>
    </row>
    <row r="32" customFormat="false" ht="42" hidden="false" customHeight="true" outlineLevel="0" collapsed="false">
      <c r="A32" s="2" t="s">
        <v>129</v>
      </c>
      <c r="B32" s="8" t="n">
        <v>20605240</v>
      </c>
      <c r="C32" s="2" t="s">
        <v>130</v>
      </c>
      <c r="D32" s="2" t="s">
        <v>131</v>
      </c>
    </row>
  </sheetData>
  <autoFilter ref="A1:D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7"/>
    <col collapsed="false" customWidth="true" hidden="false" outlineLevel="0" max="3" min="3" style="0" width="21"/>
    <col collapsed="false" customWidth="true" hidden="false" outlineLevel="0" max="4" min="4" style="0" width="100"/>
    <col collapsed="false" customWidth="true" hidden="false" outlineLevel="0" max="5" min="5" style="0" width="27"/>
  </cols>
  <sheetData>
    <row r="1" customFormat="false" ht="36" hidden="false" customHeight="true" outlineLevel="0" collapsed="false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</row>
    <row r="2" customFormat="false" ht="36" hidden="false" customHeight="true" outlineLevel="0" collapsed="false">
      <c r="A2" s="2" t="s">
        <v>137</v>
      </c>
      <c r="B2" s="8" t="n">
        <v>24</v>
      </c>
      <c r="C2" s="2" t="s">
        <v>138</v>
      </c>
      <c r="D2" s="2" t="s">
        <v>139</v>
      </c>
      <c r="E2" s="15" t="n">
        <f aca="false">B2*FX!$B$4</f>
        <v>10750.56</v>
      </c>
    </row>
    <row r="3" customFormat="false" ht="36" hidden="false" customHeight="true" outlineLevel="0" collapsed="false">
      <c r="A3" s="3" t="s">
        <v>140</v>
      </c>
      <c r="B3" s="9" t="n">
        <v>30.45</v>
      </c>
      <c r="C3" s="3" t="s">
        <v>141</v>
      </c>
      <c r="D3" s="3" t="s">
        <v>142</v>
      </c>
      <c r="E3" s="16" t="n">
        <f aca="false">B3*FX!$B$4</f>
        <v>13639.773</v>
      </c>
    </row>
    <row r="4" customFormat="false" ht="36" hidden="false" customHeight="true" outlineLevel="0" collapsed="false">
      <c r="A4" s="2" t="s">
        <v>143</v>
      </c>
      <c r="B4" s="11" t="n">
        <v>0.3</v>
      </c>
      <c r="C4" s="2" t="s">
        <v>144</v>
      </c>
      <c r="D4" s="2" t="s">
        <v>145</v>
      </c>
      <c r="E4" s="17" t="n">
        <f aca="false">B4</f>
        <v>0.3</v>
      </c>
    </row>
    <row r="5" customFormat="false" ht="36" hidden="false" customHeight="true" outlineLevel="0" collapsed="false">
      <c r="A5" s="3" t="s">
        <v>146</v>
      </c>
      <c r="B5" s="9" t="n">
        <v>5</v>
      </c>
      <c r="C5" s="3" t="s">
        <v>147</v>
      </c>
      <c r="D5" s="3" t="s">
        <v>148</v>
      </c>
      <c r="E5" s="16" t="n">
        <f aca="false">B5*FX!$B$4</f>
        <v>2239.7</v>
      </c>
    </row>
    <row r="6" customFormat="false" ht="36" hidden="false" customHeight="true" outlineLevel="0" collapsed="false">
      <c r="A6" s="2" t="s">
        <v>149</v>
      </c>
      <c r="B6" s="8" t="n">
        <v>6</v>
      </c>
      <c r="C6" s="2" t="s">
        <v>138</v>
      </c>
      <c r="D6" s="2" t="s">
        <v>150</v>
      </c>
      <c r="E6" s="15" t="n">
        <f aca="false">B6*FX!$B$4</f>
        <v>2687.64</v>
      </c>
    </row>
    <row r="7" customFormat="false" ht="36" hidden="false" customHeight="true" outlineLevel="0" collapsed="false">
      <c r="A7" s="3" t="s">
        <v>151</v>
      </c>
      <c r="B7" s="9" t="n">
        <v>117.1</v>
      </c>
      <c r="C7" s="3" t="s">
        <v>152</v>
      </c>
      <c r="D7" s="3" t="s">
        <v>153</v>
      </c>
      <c r="E7" s="16" t="n">
        <f aca="false">B7*FX!$B$4</f>
        <v>52453.774</v>
      </c>
    </row>
    <row r="8" customFormat="false" ht="36" hidden="false" customHeight="true" outlineLevel="0" collapsed="false">
      <c r="A8" s="2" t="s">
        <v>154</v>
      </c>
      <c r="B8" s="8" t="n">
        <v>1.9</v>
      </c>
      <c r="C8" s="2" t="s">
        <v>155</v>
      </c>
      <c r="D8" s="2" t="s">
        <v>156</v>
      </c>
      <c r="E8" s="15" t="n">
        <f aca="false">B8*FX!$B$4</f>
        <v>851.086</v>
      </c>
    </row>
    <row r="9" customFormat="false" ht="36" hidden="false" customHeight="true" outlineLevel="0" collapsed="false">
      <c r="A9" s="3" t="s">
        <v>157</v>
      </c>
      <c r="B9" s="9" t="n">
        <v>59</v>
      </c>
      <c r="C9" s="3" t="s">
        <v>158</v>
      </c>
      <c r="D9" s="3" t="s">
        <v>159</v>
      </c>
      <c r="E9" s="16" t="n">
        <f aca="false">B9*FX!$B$4</f>
        <v>26428.46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21"/>
    <col collapsed="false" customWidth="true" hidden="false" outlineLevel="0" max="5" min="5" style="0" width="100"/>
  </cols>
  <sheetData>
    <row r="1" customFormat="false" ht="36" hidden="false" customHeight="true" outlineLevel="0" collapsed="false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 customFormat="false" ht="36" hidden="false" customHeight="true" outlineLevel="0" collapsed="false">
      <c r="A2" s="2" t="s">
        <v>165</v>
      </c>
      <c r="B2" s="15" t="n">
        <f aca="false">Tariffs!E2</f>
        <v>10750.56</v>
      </c>
      <c r="C2" s="15" t="n">
        <v>0</v>
      </c>
      <c r="D2" s="15" t="n">
        <f aca="false">Tariffs!E7</f>
        <v>52453.774</v>
      </c>
      <c r="E2" s="2" t="s">
        <v>166</v>
      </c>
    </row>
    <row r="3" customFormat="false" ht="36" hidden="false" customHeight="true" outlineLevel="0" collapsed="false">
      <c r="A3" s="3" t="s">
        <v>167</v>
      </c>
      <c r="B3" s="16" t="n">
        <f aca="false">Tariffs!E3</f>
        <v>13639.773</v>
      </c>
      <c r="C3" s="16" t="n">
        <v>0</v>
      </c>
      <c r="D3" s="16" t="n">
        <v>0</v>
      </c>
      <c r="E3" s="3" t="s">
        <v>168</v>
      </c>
    </row>
    <row r="4" customFormat="false" ht="36" hidden="false" customHeight="true" outlineLevel="0" collapsed="false">
      <c r="A4" s="2" t="s">
        <v>169</v>
      </c>
      <c r="B4" s="15" t="n">
        <f aca="false">Tariffs!E2*Tariffs!B4</f>
        <v>3225.168</v>
      </c>
      <c r="C4" s="15" t="n">
        <v>0</v>
      </c>
      <c r="D4" s="15" t="n">
        <v>0</v>
      </c>
      <c r="E4" s="2" t="s">
        <v>170</v>
      </c>
    </row>
    <row r="5" customFormat="false" ht="36" hidden="false" customHeight="true" outlineLevel="0" collapsed="false">
      <c r="A5" s="3" t="s">
        <v>171</v>
      </c>
      <c r="B5" s="16" t="n">
        <f aca="false">Tariffs!E5</f>
        <v>2239.7</v>
      </c>
      <c r="C5" s="16" t="n">
        <f aca="false">Tariffs!E5</f>
        <v>2239.7</v>
      </c>
      <c r="D5" s="16" t="n">
        <f aca="false">Tariffs!E5</f>
        <v>2239.7</v>
      </c>
      <c r="E5" s="3" t="s">
        <v>172</v>
      </c>
    </row>
    <row r="6" customFormat="false" ht="36" hidden="false" customHeight="true" outlineLevel="0" collapsed="false">
      <c r="A6" s="2" t="s">
        <v>173</v>
      </c>
      <c r="B6" s="15" t="n">
        <f aca="false">Tariffs!E6</f>
        <v>2687.64</v>
      </c>
      <c r="C6" s="15" t="n">
        <f aca="false">Tariffs!E6</f>
        <v>2687.64</v>
      </c>
      <c r="D6" s="15" t="n">
        <f aca="false">Tariffs!E6</f>
        <v>2687.64</v>
      </c>
      <c r="E6" s="2" t="s">
        <v>174</v>
      </c>
    </row>
    <row r="7" customFormat="false" ht="36" hidden="false" customHeight="true" outlineLevel="0" collapsed="false">
      <c r="A7" s="3" t="s">
        <v>92</v>
      </c>
      <c r="B7" s="16" t="n">
        <f aca="false">Inputs!$B$16</f>
        <v>447.94</v>
      </c>
      <c r="C7" s="16" t="n">
        <f aca="false">Inputs!$B$16</f>
        <v>447.94</v>
      </c>
      <c r="D7" s="16" t="n">
        <f aca="false">Inputs!$B$16</f>
        <v>447.94</v>
      </c>
      <c r="E7" s="3" t="s">
        <v>175</v>
      </c>
    </row>
    <row r="8" customFormat="false" ht="36" hidden="false" customHeight="true" outlineLevel="0" collapsed="false">
      <c r="A8" s="2" t="s">
        <v>176</v>
      </c>
      <c r="B8" s="15" t="n">
        <f aca="false">Inputs!$B$12*Inputs!$B$13</f>
        <v>17917.6</v>
      </c>
      <c r="C8" s="15" t="n">
        <f aca="false">Inputs!$B$12*Inputs!$B$14</f>
        <v>53752.8</v>
      </c>
      <c r="D8" s="15" t="n">
        <f aca="false">Inputs!$B$12*Inputs!$B$15</f>
        <v>35835.2</v>
      </c>
      <c r="E8" s="2" t="s">
        <v>177</v>
      </c>
    </row>
    <row r="9" customFormat="false" ht="36" hidden="false" customHeight="true" outlineLevel="0" collapsed="false">
      <c r="A9" s="3" t="s">
        <v>115</v>
      </c>
      <c r="B9" s="16" t="n">
        <v>0</v>
      </c>
      <c r="C9" s="16" t="n">
        <f aca="false">Inputs!$B$24*24*365/12*Inputs!$B$25</f>
        <v>3923.9544</v>
      </c>
      <c r="D9" s="16" t="n">
        <v>0</v>
      </c>
      <c r="E9" s="3" t="s">
        <v>178</v>
      </c>
    </row>
    <row r="10" customFormat="false" ht="36" hidden="false" customHeight="true" outlineLevel="0" collapsed="false">
      <c r="A10" s="2" t="s">
        <v>179</v>
      </c>
      <c r="B10" s="15" t="n">
        <v>0</v>
      </c>
      <c r="C10" s="15" t="n">
        <f aca="false">Inputs!$B$26</f>
        <v>13438.2</v>
      </c>
      <c r="D10" s="15" t="n">
        <f aca="false">Tariffs!E8</f>
        <v>851.086</v>
      </c>
      <c r="E10" s="2" t="s">
        <v>180</v>
      </c>
    </row>
    <row r="11" customFormat="false" ht="36" hidden="false" customHeight="true" outlineLevel="0" collapsed="false">
      <c r="A11" s="3" t="s">
        <v>181</v>
      </c>
      <c r="B11" s="16" t="n">
        <v>0</v>
      </c>
      <c r="C11" s="16" t="n">
        <f aca="false">Inputs!$B$27</f>
        <v>4479.4</v>
      </c>
      <c r="D11" s="16" t="n">
        <v>0</v>
      </c>
      <c r="E11" s="3" t="s">
        <v>182</v>
      </c>
    </row>
    <row r="12" customFormat="false" ht="36" hidden="false" customHeight="true" outlineLevel="0" collapsed="false">
      <c r="A12" s="2" t="s">
        <v>183</v>
      </c>
      <c r="B12" s="15" t="n">
        <f aca="false">SUM(B2:B11)</f>
        <v>50908.381</v>
      </c>
      <c r="C12" s="15" t="n">
        <f aca="false">SUM(C2:C11)</f>
        <v>80969.6344</v>
      </c>
      <c r="D12" s="15" t="n">
        <f aca="false">SUM(D2:D11)</f>
        <v>94515.34</v>
      </c>
      <c r="E12" s="2" t="s">
        <v>184</v>
      </c>
    </row>
    <row r="13" customFormat="false" ht="36" hidden="false" customHeight="true" outlineLevel="0" collapsed="false">
      <c r="A13" s="3" t="s">
        <v>185</v>
      </c>
      <c r="B13" s="16" t="n">
        <v>0</v>
      </c>
      <c r="C13" s="16" t="n">
        <f aca="false">Inputs!$B$22+Inputs!$B$23</f>
        <v>1119850</v>
      </c>
      <c r="D13" s="16" t="n">
        <v>0</v>
      </c>
      <c r="E13" s="3" t="s">
        <v>186</v>
      </c>
    </row>
    <row r="14" customFormat="false" ht="36" hidden="false" customHeight="true" outlineLevel="0" collapsed="false">
      <c r="A14" s="2" t="s">
        <v>187</v>
      </c>
      <c r="B14" s="15" t="n">
        <f aca="false">Inputs!$B$28*Inputs!$B$12</f>
        <v>17917.6</v>
      </c>
      <c r="C14" s="15" t="n">
        <f aca="false">Inputs!$B$29*Inputs!$B$12</f>
        <v>53752.8</v>
      </c>
      <c r="D14" s="15" t="n">
        <f aca="false">Inputs!$B$30*Inputs!$B$12+Tariffs!E9</f>
        <v>62263.66</v>
      </c>
      <c r="E14" s="2" t="s">
        <v>188</v>
      </c>
    </row>
    <row r="15" customFormat="false" ht="36" hidden="false" customHeight="true" outlineLevel="0" collapsed="false">
      <c r="A15" s="3" t="s">
        <v>189</v>
      </c>
      <c r="B15" s="16" t="n">
        <f aca="false">B12*36+B13+B14</f>
        <v>1850619.316</v>
      </c>
      <c r="C15" s="16" t="n">
        <f aca="false">C12*36+C13+C14</f>
        <v>4088509.6384</v>
      </c>
      <c r="D15" s="16" t="n">
        <f aca="false">D12*36+D13+D14</f>
        <v>3464815.9</v>
      </c>
      <c r="E15" s="3" t="s">
        <v>190</v>
      </c>
    </row>
    <row r="16" customFormat="false" ht="36" hidden="false" customHeight="true" outlineLevel="0" collapsed="false">
      <c r="A16" s="2" t="s">
        <v>191</v>
      </c>
      <c r="B16" s="15" t="n">
        <f aca="false">Inputs!$B$2+Inputs!$B$3+Inputs!$B$4+Inputs!$B$5+Inputs!$B$6*36</f>
        <v>17380072</v>
      </c>
      <c r="C16" s="15" t="n">
        <f aca="false">B16</f>
        <v>17380072</v>
      </c>
      <c r="D16" s="15" t="n">
        <f aca="false">B16</f>
        <v>17380072</v>
      </c>
      <c r="E16" s="2" t="s">
        <v>192</v>
      </c>
    </row>
    <row r="17" customFormat="false" ht="36" hidden="false" customHeight="true" outlineLevel="0" collapsed="false">
      <c r="A17" s="3" t="s">
        <v>193</v>
      </c>
      <c r="B17" s="16" t="n">
        <f aca="false">B15+B16</f>
        <v>19230691.316</v>
      </c>
      <c r="C17" s="16" t="n">
        <f aca="false">C15+C16</f>
        <v>21468581.6384</v>
      </c>
      <c r="D17" s="16" t="n">
        <f aca="false">D15+D16</f>
        <v>20844887.9</v>
      </c>
      <c r="E17" s="3" t="s">
        <v>194</v>
      </c>
    </row>
    <row r="18" customFormat="false" ht="36" hidden="false" customHeight="true" outlineLevel="0" collapsed="false">
      <c r="A18" s="2" t="s">
        <v>195</v>
      </c>
      <c r="B18" s="15" t="n">
        <f aca="false">B17-Inputs!$B$32</f>
        <v>-1374548.684</v>
      </c>
      <c r="C18" s="15" t="n">
        <f aca="false">C17-Inputs!$B$32</f>
        <v>863341.6384</v>
      </c>
      <c r="D18" s="15" t="n">
        <f aca="false">D17-Inputs!$B$32</f>
        <v>239647.899999999</v>
      </c>
      <c r="E18" s="2" t="s">
        <v>196</v>
      </c>
    </row>
    <row r="19" customFormat="false" ht="36" hidden="false" customHeight="true" outlineLevel="0" collapsed="false">
      <c r="A19" s="3" t="s">
        <v>197</v>
      </c>
      <c r="B19" s="16" t="n">
        <f aca="false">(B2+B3+B4+B5+B6)*0.3*36+B15</f>
        <v>2202081.9988</v>
      </c>
      <c r="C19" s="16" t="n">
        <f aca="false">(C5+C6)*0.3*36+C15</f>
        <v>4141724.9104</v>
      </c>
      <c r="D19" s="16" t="n">
        <f aca="false">(D2+D5+D6+D10)*0.3*36+D15</f>
        <v>4093723.66</v>
      </c>
      <c r="E19" s="3" t="s">
        <v>198</v>
      </c>
    </row>
  </sheetData>
  <autoFilter ref="A1:E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14" min="2" style="0" width="21"/>
  </cols>
  <sheetData>
    <row r="1" customFormat="false" ht="36" hidden="false" customHeight="true" outlineLevel="0" collapsed="false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</row>
    <row r="2" customFormat="false" ht="30" hidden="false" customHeight="true" outlineLevel="0" collapsed="false">
      <c r="A2" s="2" t="s">
        <v>213</v>
      </c>
      <c r="B2" s="18" t="n">
        <v>0</v>
      </c>
      <c r="C2" s="18" t="n">
        <v>0</v>
      </c>
      <c r="D2" s="18" t="n">
        <v>0</v>
      </c>
      <c r="E2" s="18" t="n">
        <v>100</v>
      </c>
      <c r="F2" s="18" t="n">
        <v>200</v>
      </c>
      <c r="G2" s="18" t="n">
        <v>400</v>
      </c>
      <c r="H2" s="18" t="n">
        <v>600</v>
      </c>
      <c r="I2" s="18" t="n">
        <v>800</v>
      </c>
      <c r="J2" s="18" t="n">
        <v>1000</v>
      </c>
      <c r="K2" s="18" t="n">
        <v>1300</v>
      </c>
      <c r="L2" s="18" t="n">
        <v>1600</v>
      </c>
      <c r="M2" s="18" t="n">
        <v>2000</v>
      </c>
      <c r="N2" s="19" t="n">
        <f aca="false">SUM(B2:M2)</f>
        <v>8000</v>
      </c>
    </row>
    <row r="3" customFormat="false" ht="30" hidden="false" customHeight="true" outlineLevel="0" collapsed="false">
      <c r="A3" s="3" t="s">
        <v>214</v>
      </c>
      <c r="B3" s="16" t="n">
        <f aca="false">Inputs!$B$2/3</f>
        <v>2687640</v>
      </c>
      <c r="C3" s="16" t="n">
        <f aca="false">Inputs!$B$2/3</f>
        <v>2687640</v>
      </c>
      <c r="D3" s="16" t="n">
        <f aca="false">Inputs!$B$2/3</f>
        <v>2687640</v>
      </c>
      <c r="E3" s="16" t="n">
        <v>0</v>
      </c>
      <c r="F3" s="16" t="n">
        <v>0</v>
      </c>
      <c r="G3" s="16" t="n">
        <v>0</v>
      </c>
      <c r="H3" s="16" t="n">
        <v>0</v>
      </c>
      <c r="I3" s="16" t="n">
        <v>0</v>
      </c>
      <c r="J3" s="16" t="n">
        <v>0</v>
      </c>
      <c r="K3" s="16" t="n">
        <v>0</v>
      </c>
      <c r="L3" s="16" t="n">
        <v>0</v>
      </c>
      <c r="M3" s="16" t="n">
        <v>0</v>
      </c>
      <c r="N3" s="16" t="n">
        <f aca="false">SUM(B3:M3)</f>
        <v>8062920</v>
      </c>
    </row>
    <row r="4" customFormat="false" ht="30" hidden="false" customHeight="true" outlineLevel="0" collapsed="false">
      <c r="A4" s="2" t="s">
        <v>215</v>
      </c>
      <c r="B4" s="15" t="n">
        <v>0</v>
      </c>
      <c r="C4" s="15" t="n">
        <v>0</v>
      </c>
      <c r="D4" s="15" t="n">
        <f aca="false">Inputs!$B$3</f>
        <v>671910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f aca="false">SUM(B4:M4)</f>
        <v>671910</v>
      </c>
    </row>
    <row r="5" customFormat="false" ht="30" hidden="false" customHeight="true" outlineLevel="0" collapsed="false">
      <c r="A5" s="3" t="s">
        <v>216</v>
      </c>
      <c r="B5" s="16" t="n">
        <v>0</v>
      </c>
      <c r="C5" s="16" t="n">
        <v>0</v>
      </c>
      <c r="D5" s="16" t="n">
        <f aca="false">Inputs!$B$4</f>
        <v>358352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f aca="false">SUM(B5:M5)</f>
        <v>358352</v>
      </c>
    </row>
    <row r="6" customFormat="false" ht="30" hidden="false" customHeight="true" outlineLevel="0" collapsed="false">
      <c r="A6" s="2" t="s">
        <v>217</v>
      </c>
      <c r="B6" s="15" t="n">
        <v>0</v>
      </c>
      <c r="C6" s="15" t="n">
        <v>0</v>
      </c>
      <c r="D6" s="15" t="n">
        <v>0</v>
      </c>
      <c r="E6" s="15" t="n">
        <f aca="false">Inputs!$B$5</f>
        <v>223970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f aca="false">SUM(B6:M6)</f>
        <v>223970</v>
      </c>
    </row>
    <row r="7" customFormat="false" ht="30" hidden="false" customHeight="true" outlineLevel="0" collapsed="false">
      <c r="A7" s="3" t="s">
        <v>218</v>
      </c>
      <c r="B7" s="16" t="n">
        <f aca="false">Hosting!$B$14</f>
        <v>17917.6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f aca="false">SUM(B7:M7)</f>
        <v>17917.6</v>
      </c>
    </row>
    <row r="8" customFormat="false" ht="30" hidden="false" customHeight="true" outlineLevel="0" collapsed="false">
      <c r="A8" s="2" t="s">
        <v>219</v>
      </c>
      <c r="B8" s="15" t="n">
        <f aca="false">Hosting!$B$12</f>
        <v>50908.381</v>
      </c>
      <c r="C8" s="15" t="n">
        <f aca="false">Hosting!$B$12</f>
        <v>50908.381</v>
      </c>
      <c r="D8" s="15" t="n">
        <f aca="false">Hosting!$B$12</f>
        <v>50908.381</v>
      </c>
      <c r="E8" s="15" t="n">
        <f aca="false">Hosting!$B$12</f>
        <v>50908.381</v>
      </c>
      <c r="F8" s="15" t="n">
        <f aca="false">Hosting!$B$12</f>
        <v>50908.381</v>
      </c>
      <c r="G8" s="15" t="n">
        <f aca="false">Hosting!$B$12</f>
        <v>50908.381</v>
      </c>
      <c r="H8" s="15" t="n">
        <f aca="false">Hosting!$B$12</f>
        <v>50908.381</v>
      </c>
      <c r="I8" s="15" t="n">
        <f aca="false">Hosting!$B$12</f>
        <v>50908.381</v>
      </c>
      <c r="J8" s="15" t="n">
        <f aca="false">Hosting!$B$12</f>
        <v>50908.381</v>
      </c>
      <c r="K8" s="15" t="n">
        <f aca="false">Hosting!$B$12</f>
        <v>50908.381</v>
      </c>
      <c r="L8" s="15" t="n">
        <f aca="false">Hosting!$B$12</f>
        <v>50908.381</v>
      </c>
      <c r="M8" s="15" t="n">
        <f aca="false">Hosting!$B$12</f>
        <v>50908.381</v>
      </c>
      <c r="N8" s="15" t="n">
        <f aca="false">SUM(B8:M8)</f>
        <v>610900.572</v>
      </c>
    </row>
    <row r="9" customFormat="false" ht="30" hidden="false" customHeight="true" outlineLevel="0" collapsed="false">
      <c r="A9" s="3" t="s">
        <v>220</v>
      </c>
      <c r="B9" s="16" t="n">
        <v>0</v>
      </c>
      <c r="C9" s="16" t="n">
        <v>0</v>
      </c>
      <c r="D9" s="16" t="n">
        <v>0</v>
      </c>
      <c r="E9" s="16" t="n">
        <f aca="false">Inputs!$B$6</f>
        <v>223970</v>
      </c>
      <c r="F9" s="16" t="n">
        <f aca="false">Inputs!$B$6</f>
        <v>223970</v>
      </c>
      <c r="G9" s="16" t="n">
        <f aca="false">Inputs!$B$6</f>
        <v>223970</v>
      </c>
      <c r="H9" s="16" t="n">
        <f aca="false">Inputs!$B$6</f>
        <v>223970</v>
      </c>
      <c r="I9" s="16" t="n">
        <f aca="false">Inputs!$B$6</f>
        <v>223970</v>
      </c>
      <c r="J9" s="16" t="n">
        <f aca="false">Inputs!$B$6</f>
        <v>223970</v>
      </c>
      <c r="K9" s="16" t="n">
        <f aca="false">Inputs!$B$6</f>
        <v>223970</v>
      </c>
      <c r="L9" s="16" t="n">
        <f aca="false">Inputs!$B$6</f>
        <v>223970</v>
      </c>
      <c r="M9" s="16" t="n">
        <f aca="false">Inputs!$B$6</f>
        <v>223970</v>
      </c>
      <c r="N9" s="16" t="n">
        <f aca="false">SUM(B9:M9)</f>
        <v>2015730</v>
      </c>
    </row>
    <row r="10" customFormat="false" ht="30" hidden="false" customHeight="true" outlineLevel="0" collapsed="false">
      <c r="A10" s="2" t="s">
        <v>69</v>
      </c>
      <c r="B10" s="15" t="n">
        <v>0</v>
      </c>
      <c r="C10" s="15" t="n">
        <v>0</v>
      </c>
      <c r="D10" s="15" t="n">
        <v>0</v>
      </c>
      <c r="E10" s="15" t="n">
        <f aca="false">Inputs!$B$7</f>
        <v>44794</v>
      </c>
      <c r="F10" s="15" t="n">
        <f aca="false">Inputs!$B$7</f>
        <v>44794</v>
      </c>
      <c r="G10" s="15" t="n">
        <f aca="false">Inputs!$B$7</f>
        <v>44794</v>
      </c>
      <c r="H10" s="15" t="n">
        <f aca="false">Inputs!$B$7</f>
        <v>44794</v>
      </c>
      <c r="I10" s="15" t="n">
        <f aca="false">Inputs!$B$7</f>
        <v>44794</v>
      </c>
      <c r="J10" s="15" t="n">
        <f aca="false">Inputs!$B$7</f>
        <v>44794</v>
      </c>
      <c r="K10" s="15" t="n">
        <f aca="false">Inputs!$B$7</f>
        <v>44794</v>
      </c>
      <c r="L10" s="15" t="n">
        <f aca="false">Inputs!$B$7</f>
        <v>44794</v>
      </c>
      <c r="M10" s="15" t="n">
        <f aca="false">Inputs!$B$7</f>
        <v>44794</v>
      </c>
      <c r="N10" s="15" t="n">
        <f aca="false">SUM(B10:M10)</f>
        <v>403146</v>
      </c>
    </row>
    <row r="11" customFormat="false" ht="30" hidden="false" customHeight="true" outlineLevel="0" collapsed="false">
      <c r="A11" s="3" t="s">
        <v>221</v>
      </c>
      <c r="B11" s="16" t="n">
        <f aca="false">B2*Inputs!$B$8</f>
        <v>0</v>
      </c>
      <c r="C11" s="16" t="n">
        <f aca="false">C2*Inputs!$B$8</f>
        <v>0</v>
      </c>
      <c r="D11" s="16" t="n">
        <f aca="false">D2*Inputs!$B$8</f>
        <v>0</v>
      </c>
      <c r="E11" s="16" t="n">
        <f aca="false">E2*Inputs!$B$8</f>
        <v>8958.8</v>
      </c>
      <c r="F11" s="16" t="n">
        <f aca="false">F2*Inputs!$B$8</f>
        <v>17917.6</v>
      </c>
      <c r="G11" s="16" t="n">
        <f aca="false">G2*Inputs!$B$8</f>
        <v>35835.2</v>
      </c>
      <c r="H11" s="16" t="n">
        <f aca="false">H2*Inputs!$B$8</f>
        <v>53752.8</v>
      </c>
      <c r="I11" s="16" t="n">
        <f aca="false">I2*Inputs!$B$8</f>
        <v>71670.4</v>
      </c>
      <c r="J11" s="16" t="n">
        <f aca="false">J2*Inputs!$B$8</f>
        <v>89588</v>
      </c>
      <c r="K11" s="16" t="n">
        <f aca="false">K2*Inputs!$B$8</f>
        <v>116464.4</v>
      </c>
      <c r="L11" s="16" t="n">
        <f aca="false">L2*Inputs!$B$8</f>
        <v>143340.8</v>
      </c>
      <c r="M11" s="16" t="n">
        <f aca="false">M2*Inputs!$B$8</f>
        <v>179176</v>
      </c>
      <c r="N11" s="16" t="n">
        <f aca="false">SUM(B11:M11)</f>
        <v>716704</v>
      </c>
    </row>
    <row r="12" customFormat="false" ht="30" hidden="false" customHeight="true" outlineLevel="0" collapsed="false">
      <c r="A12" s="2" t="s">
        <v>222</v>
      </c>
      <c r="B12" s="15" t="n">
        <f aca="false">SUM(B3:B11)</f>
        <v>2756465.981</v>
      </c>
      <c r="C12" s="15" t="n">
        <f aca="false">SUM(C3:C11)</f>
        <v>2738548.381</v>
      </c>
      <c r="D12" s="15" t="n">
        <f aca="false">SUM(D3:D11)</f>
        <v>3768810.381</v>
      </c>
      <c r="E12" s="15" t="n">
        <f aca="false">SUM(E3:E11)</f>
        <v>552601.181</v>
      </c>
      <c r="F12" s="15" t="n">
        <f aca="false">SUM(F3:F11)</f>
        <v>337589.981</v>
      </c>
      <c r="G12" s="15" t="n">
        <f aca="false">SUM(G3:G11)</f>
        <v>355507.581</v>
      </c>
      <c r="H12" s="15" t="n">
        <f aca="false">SUM(H3:H11)</f>
        <v>373425.181</v>
      </c>
      <c r="I12" s="15" t="n">
        <f aca="false">SUM(I3:I11)</f>
        <v>391342.781</v>
      </c>
      <c r="J12" s="15" t="n">
        <f aca="false">SUM(J3:J11)</f>
        <v>409260.381</v>
      </c>
      <c r="K12" s="15" t="n">
        <f aca="false">SUM(K3:K11)</f>
        <v>436136.781</v>
      </c>
      <c r="L12" s="15" t="n">
        <f aca="false">SUM(L3:L11)</f>
        <v>463013.181</v>
      </c>
      <c r="M12" s="15" t="n">
        <f aca="false">SUM(M3:M11)</f>
        <v>498848.381</v>
      </c>
      <c r="N12" s="15" t="n">
        <f aca="false">SUM(B12:M12)</f>
        <v>13081550.172</v>
      </c>
    </row>
    <row r="13" customFormat="false" ht="30" hidden="false" customHeight="true" outlineLevel="0" collapsed="false">
      <c r="A13" s="3" t="s">
        <v>223</v>
      </c>
      <c r="B13" s="16" t="n">
        <f aca="false">B2*Inputs!$B$9*Inputs!$B$10*Inputs!$B$11</f>
        <v>0</v>
      </c>
      <c r="C13" s="16" t="n">
        <f aca="false">C2*Inputs!$B$9*Inputs!$B$10*Inputs!$B$11</f>
        <v>0</v>
      </c>
      <c r="D13" s="16" t="n">
        <f aca="false">D2*Inputs!$B$9*Inputs!$B$10*Inputs!$B$11</f>
        <v>0</v>
      </c>
      <c r="E13" s="16" t="n">
        <f aca="false">E2*Inputs!$B$9*Inputs!$B$10*Inputs!$B$11</f>
        <v>53752.8</v>
      </c>
      <c r="F13" s="16" t="n">
        <f aca="false">F2*Inputs!$B$9*Inputs!$B$10*Inputs!$B$11</f>
        <v>107505.6</v>
      </c>
      <c r="G13" s="16" t="n">
        <f aca="false">G2*Inputs!$B$9*Inputs!$B$10*Inputs!$B$11</f>
        <v>215011.2</v>
      </c>
      <c r="H13" s="16" t="n">
        <f aca="false">H2*Inputs!$B$9*Inputs!$B$10*Inputs!$B$11</f>
        <v>322516.8</v>
      </c>
      <c r="I13" s="16" t="n">
        <f aca="false">I2*Inputs!$B$9*Inputs!$B$10*Inputs!$B$11</f>
        <v>430022.4</v>
      </c>
      <c r="J13" s="16" t="n">
        <f aca="false">J2*Inputs!$B$9*Inputs!$B$10*Inputs!$B$11</f>
        <v>537528</v>
      </c>
      <c r="K13" s="16" t="n">
        <f aca="false">K2*Inputs!$B$9*Inputs!$B$10*Inputs!$B$11</f>
        <v>698786.4</v>
      </c>
      <c r="L13" s="16" t="n">
        <f aca="false">L2*Inputs!$B$9*Inputs!$B$10*Inputs!$B$11</f>
        <v>860044.8</v>
      </c>
      <c r="M13" s="16" t="n">
        <f aca="false">M2*Inputs!$B$9*Inputs!$B$10*Inputs!$B$11</f>
        <v>1075056</v>
      </c>
      <c r="N13" s="16" t="n">
        <f aca="false">SUM(B13:M13)</f>
        <v>4300224</v>
      </c>
    </row>
    <row r="14" customFormat="false" ht="30" hidden="false" customHeight="true" outlineLevel="0" collapsed="false">
      <c r="A14" s="2" t="s">
        <v>224</v>
      </c>
      <c r="B14" s="15" t="n">
        <f aca="false">B13-B12</f>
        <v>-2756465.981</v>
      </c>
      <c r="C14" s="15" t="n">
        <f aca="false">C13-C12</f>
        <v>-2738548.381</v>
      </c>
      <c r="D14" s="15" t="n">
        <f aca="false">D13-D12</f>
        <v>-3768810.381</v>
      </c>
      <c r="E14" s="15" t="n">
        <f aca="false">E13-E12</f>
        <v>-498848.381</v>
      </c>
      <c r="F14" s="15" t="n">
        <f aca="false">F13-F12</f>
        <v>-230084.381</v>
      </c>
      <c r="G14" s="15" t="n">
        <f aca="false">G13-G12</f>
        <v>-140496.381</v>
      </c>
      <c r="H14" s="15" t="n">
        <f aca="false">H13-H12</f>
        <v>-50908.381</v>
      </c>
      <c r="I14" s="15" t="n">
        <f aca="false">I13-I12</f>
        <v>38679.6190000001</v>
      </c>
      <c r="J14" s="15" t="n">
        <f aca="false">J13-J12</f>
        <v>128267.619</v>
      </c>
      <c r="K14" s="15" t="n">
        <f aca="false">K13-K12</f>
        <v>262649.619</v>
      </c>
      <c r="L14" s="15" t="n">
        <f aca="false">L13-L12</f>
        <v>397031.619</v>
      </c>
      <c r="M14" s="15" t="n">
        <f aca="false">M13-M12</f>
        <v>576207.619</v>
      </c>
      <c r="N14" s="15" t="n">
        <f aca="false">SUM(B14:M14)</f>
        <v>-8781326.172</v>
      </c>
    </row>
    <row r="15" customFormat="false" ht="30" hidden="false" customHeight="true" outlineLevel="0" collapsed="false">
      <c r="A15" s="3" t="s">
        <v>225</v>
      </c>
      <c r="B15" s="16" t="n">
        <f aca="false">B14</f>
        <v>-2756465.981</v>
      </c>
      <c r="C15" s="16" t="n">
        <f aca="false">B15+C14</f>
        <v>-5495014.362</v>
      </c>
      <c r="D15" s="16" t="n">
        <f aca="false">C15+D14</f>
        <v>-9263824.743</v>
      </c>
      <c r="E15" s="16" t="n">
        <f aca="false">D15+E14</f>
        <v>-9762673.124</v>
      </c>
      <c r="F15" s="16" t="n">
        <f aca="false">E15+F14</f>
        <v>-9992757.505</v>
      </c>
      <c r="G15" s="16" t="n">
        <f aca="false">F15+G14</f>
        <v>-10133253.886</v>
      </c>
      <c r="H15" s="16" t="n">
        <f aca="false">G15+H14</f>
        <v>-10184162.267</v>
      </c>
      <c r="I15" s="16" t="n">
        <f aca="false">H15+I14</f>
        <v>-10145482.648</v>
      </c>
      <c r="J15" s="16" t="n">
        <f aca="false">I15+J14</f>
        <v>-10017215.029</v>
      </c>
      <c r="K15" s="16" t="n">
        <f aca="false">J15+K14</f>
        <v>-9754565.41</v>
      </c>
      <c r="L15" s="16" t="n">
        <f aca="false">K15+L14</f>
        <v>-9357533.791</v>
      </c>
      <c r="M15" s="16" t="n">
        <f aca="false">L15+M14</f>
        <v>-8781326.172</v>
      </c>
      <c r="N15" s="16" t="n">
        <f aca="false">M15</f>
        <v>-8781326.172</v>
      </c>
    </row>
    <row r="16" customFormat="false" ht="30" hidden="false" customHeight="true" outlineLevel="0" collapsed="false">
      <c r="A16" s="2" t="s">
        <v>226</v>
      </c>
      <c r="B16" s="15" t="str">
        <f aca="false">IF(B2=0,"N/A",B12/B2)</f>
        <v>N/A</v>
      </c>
      <c r="C16" s="15" t="str">
        <f aca="false">IF(C2=0,"N/A",C12/C2)</f>
        <v>N/A</v>
      </c>
      <c r="D16" s="15" t="str">
        <f aca="false">IF(D2=0,"N/A",D12/D2)</f>
        <v>N/A</v>
      </c>
      <c r="E16" s="15" t="n">
        <f aca="false">IF(E2=0,"N/A",E12/E2)</f>
        <v>5526.01181</v>
      </c>
      <c r="F16" s="15" t="n">
        <f aca="false">IF(F2=0,"N/A",F12/F2)</f>
        <v>1687.949905</v>
      </c>
      <c r="G16" s="15" t="n">
        <f aca="false">IF(G2=0,"N/A",G12/G2)</f>
        <v>888.7689525</v>
      </c>
      <c r="H16" s="15" t="n">
        <f aca="false">IF(H2=0,"N/A",H12/H2)</f>
        <v>622.375301666667</v>
      </c>
      <c r="I16" s="15" t="n">
        <f aca="false">IF(I2=0,"N/A",I12/I2)</f>
        <v>489.17847625</v>
      </c>
      <c r="J16" s="15" t="n">
        <f aca="false">IF(J2=0,"N/A",J12/J2)</f>
        <v>409.260381</v>
      </c>
      <c r="K16" s="15" t="n">
        <f aca="false">IF(K2=0,"N/A",K12/K2)</f>
        <v>335.489831538462</v>
      </c>
      <c r="L16" s="15" t="n">
        <f aca="false">IF(L2=0,"N/A",L12/L2)</f>
        <v>289.383238125</v>
      </c>
      <c r="M16" s="15" t="n">
        <f aca="false">IF(M2=0,"N/A",M12/M2)</f>
        <v>249.4241905</v>
      </c>
      <c r="N16" s="15" t="n">
        <f aca="false">N12/N2</f>
        <v>1635.1937715</v>
      </c>
    </row>
    <row r="17" customFormat="false" ht="30" hidden="false" customHeight="true" outlineLevel="0" collapsed="false">
      <c r="A17" s="3" t="s">
        <v>227</v>
      </c>
      <c r="B17" s="16" t="n">
        <f aca="false">ROUND(Inputs!$B$17*Inputs!$B$12/3,2)</f>
        <v>94366.03</v>
      </c>
      <c r="C17" s="16" t="n">
        <f aca="false">ROUND(Inputs!$B$17*Inputs!$B$12/3,2)</f>
        <v>94366.03</v>
      </c>
      <c r="D17" s="16" t="n">
        <f aca="false">Inputs!$B$17*Inputs!$B$12-B17-C17</f>
        <v>94366.02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f aca="false">SUM(B17:M17)</f>
        <v>283098.08</v>
      </c>
    </row>
    <row r="18" customFormat="false" ht="30" hidden="false" customHeight="true" outlineLevel="0" collapsed="false">
      <c r="A18" s="2" t="s">
        <v>228</v>
      </c>
      <c r="B18" s="15" t="n">
        <f aca="false">B12+B17</f>
        <v>2850832.011</v>
      </c>
      <c r="C18" s="15" t="n">
        <f aca="false">C12+C17</f>
        <v>2832914.411</v>
      </c>
      <c r="D18" s="15" t="n">
        <f aca="false">D12+D17</f>
        <v>3863176.401</v>
      </c>
      <c r="E18" s="15" t="n">
        <f aca="false">E12+E17</f>
        <v>552601.181</v>
      </c>
      <c r="F18" s="15" t="n">
        <f aca="false">F12+F17</f>
        <v>337589.981</v>
      </c>
      <c r="G18" s="15" t="n">
        <f aca="false">G12+G17</f>
        <v>355507.581</v>
      </c>
      <c r="H18" s="15" t="n">
        <f aca="false">H12+H17</f>
        <v>373425.181</v>
      </c>
      <c r="I18" s="15" t="n">
        <f aca="false">I12+I17</f>
        <v>391342.781</v>
      </c>
      <c r="J18" s="15" t="n">
        <f aca="false">J12+J17</f>
        <v>409260.381</v>
      </c>
      <c r="K18" s="15" t="n">
        <f aca="false">K12+K17</f>
        <v>436136.781</v>
      </c>
      <c r="L18" s="15" t="n">
        <f aca="false">L12+L17</f>
        <v>463013.181</v>
      </c>
      <c r="M18" s="15" t="n">
        <f aca="false">M12+M17</f>
        <v>498848.381</v>
      </c>
      <c r="N18" s="15" t="n">
        <f aca="false">SUM(B18:M18)</f>
        <v>13364648.252</v>
      </c>
    </row>
    <row r="19" customFormat="false" ht="30" hidden="false" customHeight="true" outlineLevel="0" collapsed="false">
      <c r="A19" s="3" t="s">
        <v>98</v>
      </c>
      <c r="B19" s="16" t="n">
        <v>0</v>
      </c>
      <c r="C19" s="16" t="n">
        <v>0</v>
      </c>
      <c r="D19" s="16" t="n">
        <f aca="false">Inputs!$B$18*Inputs!$B$12</f>
        <v>71670.4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f aca="false">SUM(B19:M19)</f>
        <v>71670.4</v>
      </c>
    </row>
    <row r="20" customFormat="false" ht="30" hidden="false" customHeight="true" outlineLevel="0" collapsed="false">
      <c r="A20" s="2" t="s">
        <v>229</v>
      </c>
      <c r="B20" s="15" t="n">
        <f aca="false">B18+B19</f>
        <v>2850832.011</v>
      </c>
      <c r="C20" s="15" t="n">
        <f aca="false">C18+C19</f>
        <v>2832914.411</v>
      </c>
      <c r="D20" s="15" t="n">
        <f aca="false">D18+D19</f>
        <v>3934846.801</v>
      </c>
      <c r="E20" s="15" t="n">
        <f aca="false">E18+E19</f>
        <v>552601.181</v>
      </c>
      <c r="F20" s="15" t="n">
        <f aca="false">F18+F19</f>
        <v>337589.981</v>
      </c>
      <c r="G20" s="15" t="n">
        <f aca="false">G18+G19</f>
        <v>355507.581</v>
      </c>
      <c r="H20" s="15" t="n">
        <f aca="false">H18+H19</f>
        <v>373425.181</v>
      </c>
      <c r="I20" s="15" t="n">
        <f aca="false">I18+I19</f>
        <v>391342.781</v>
      </c>
      <c r="J20" s="15" t="n">
        <f aca="false">J18+J19</f>
        <v>409260.381</v>
      </c>
      <c r="K20" s="15" t="n">
        <f aca="false">K18+K19</f>
        <v>436136.781</v>
      </c>
      <c r="L20" s="15" t="n">
        <f aca="false">L18+L19</f>
        <v>463013.181</v>
      </c>
      <c r="M20" s="15" t="n">
        <f aca="false">M18+M19</f>
        <v>498848.381</v>
      </c>
      <c r="N20" s="15" t="n">
        <f aca="false">SUM(B20:M20)</f>
        <v>13436318.652</v>
      </c>
    </row>
  </sheetData>
  <autoFilter ref="A1:N20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1"/>
    <col collapsed="false" customWidth="true" hidden="false" outlineLevel="0" max="3" min="3" style="0" width="105"/>
  </cols>
  <sheetData>
    <row r="1" customFormat="false" ht="36" hidden="false" customHeight="true" outlineLevel="0" collapsed="false">
      <c r="A1" s="1" t="s">
        <v>230</v>
      </c>
      <c r="B1" s="1" t="s">
        <v>231</v>
      </c>
      <c r="C1" s="1" t="s">
        <v>232</v>
      </c>
    </row>
    <row r="2" customFormat="false" ht="36" hidden="false" customHeight="true" outlineLevel="0" collapsed="false">
      <c r="A2" s="2" t="s">
        <v>233</v>
      </c>
      <c r="B2" s="15" t="n">
        <f aca="false">Inputs!$B$9*Inputs!$B$10*Inputs!$B$11</f>
        <v>537.528</v>
      </c>
      <c r="C2" s="2" t="s">
        <v>234</v>
      </c>
    </row>
    <row r="3" customFormat="false" ht="36" hidden="false" customHeight="true" outlineLevel="0" collapsed="false">
      <c r="A3" s="3" t="s">
        <v>235</v>
      </c>
      <c r="B3" s="16" t="n">
        <f aca="false">Inputs!$B$8</f>
        <v>89.588</v>
      </c>
      <c r="C3" s="3" t="s">
        <v>236</v>
      </c>
    </row>
    <row r="4" customFormat="false" ht="36" hidden="false" customHeight="true" outlineLevel="0" collapsed="false">
      <c r="A4" s="2" t="s">
        <v>237</v>
      </c>
      <c r="B4" s="15" t="n">
        <f aca="false">B2-B3</f>
        <v>447.94</v>
      </c>
      <c r="C4" s="2" t="s">
        <v>238</v>
      </c>
    </row>
    <row r="5" customFormat="false" ht="36" hidden="false" customHeight="true" outlineLevel="0" collapsed="false">
      <c r="A5" s="3" t="s">
        <v>239</v>
      </c>
      <c r="B5" s="16" t="n">
        <f aca="false">Hosting!B12+Inputs!$B$6+Inputs!$B$7</f>
        <v>319672.381</v>
      </c>
      <c r="C5" s="3" t="s">
        <v>240</v>
      </c>
    </row>
    <row r="6" customFormat="false" ht="36" hidden="false" customHeight="true" outlineLevel="0" collapsed="false">
      <c r="A6" s="2" t="s">
        <v>241</v>
      </c>
      <c r="B6" s="15" t="n">
        <f aca="false">Inputs!$B$2+Inputs!$B$3+Inputs!$B$4+Inputs!$B$5+Hosting!B14</f>
        <v>9335069.6</v>
      </c>
      <c r="C6" s="2" t="s">
        <v>242</v>
      </c>
    </row>
    <row r="7" customFormat="false" ht="36" hidden="false" customHeight="true" outlineLevel="0" collapsed="false">
      <c r="A7" s="3" t="s">
        <v>243</v>
      </c>
      <c r="B7" s="16" t="n">
        <f aca="false">B6/Inputs!$B$21</f>
        <v>259307.488888889</v>
      </c>
      <c r="C7" s="3" t="s">
        <v>244</v>
      </c>
    </row>
    <row r="8" customFormat="false" ht="36" hidden="false" customHeight="true" outlineLevel="0" collapsed="false">
      <c r="A8" s="2" t="s">
        <v>245</v>
      </c>
      <c r="B8" s="19" t="n">
        <f aca="false">IF(B4&lt;=0,"Нет",ROUNDUP(B5/B4,0))</f>
        <v>714</v>
      </c>
      <c r="C8" s="2" t="s">
        <v>246</v>
      </c>
    </row>
    <row r="9" customFormat="false" ht="36" hidden="false" customHeight="true" outlineLevel="0" collapsed="false">
      <c r="A9" s="3" t="s">
        <v>247</v>
      </c>
      <c r="B9" s="20" t="n">
        <f aca="false">IF(B4&lt;=0,"Нет",ROUNDUP((B5+B7)/B4,0))</f>
        <v>1293</v>
      </c>
      <c r="C9" s="3" t="s">
        <v>248</v>
      </c>
    </row>
    <row r="10" customFormat="false" ht="36" hidden="false" customHeight="true" outlineLevel="0" collapsed="false">
      <c r="A10" s="2" t="s">
        <v>249</v>
      </c>
      <c r="B10" s="19" t="n">
        <f aca="false">IF(B4&lt;=0,"Нет",ROUNDUP((B5+(B6+Inputs!$B$17*Inputs!$B$12+Inputs!$B$18*Inputs!$B$12)/Inputs!$B$21)/B4,0))</f>
        <v>1315</v>
      </c>
      <c r="C10" s="2" t="s">
        <v>250</v>
      </c>
    </row>
    <row r="11" customFormat="false" ht="36" hidden="false" customHeight="true" outlineLevel="0" collapsed="false">
      <c r="A11" s="3" t="s">
        <v>251</v>
      </c>
      <c r="B11" s="20" t="n">
        <v>2000</v>
      </c>
      <c r="C11" s="3" t="s">
        <v>252</v>
      </c>
    </row>
    <row r="12" customFormat="false" ht="36" hidden="false" customHeight="true" outlineLevel="0" collapsed="false">
      <c r="A12" s="2" t="s">
        <v>253</v>
      </c>
      <c r="B12" s="15" t="n">
        <f aca="false">B5/B11+B3</f>
        <v>249.4241905</v>
      </c>
      <c r="C12" s="2" t="s">
        <v>254</v>
      </c>
    </row>
    <row r="13" customFormat="false" ht="36" hidden="false" customHeight="true" outlineLevel="0" collapsed="false">
      <c r="A13" s="3" t="s">
        <v>255</v>
      </c>
      <c r="B13" s="16" t="n">
        <f aca="false">(B5+B7)/B11+B3</f>
        <v>379.077934944444</v>
      </c>
      <c r="C13" s="3" t="s">
        <v>256</v>
      </c>
    </row>
    <row r="14" customFormat="false" ht="36" hidden="false" customHeight="true" outlineLevel="0" collapsed="false">
      <c r="A14" s="2" t="s">
        <v>257</v>
      </c>
      <c r="B14" s="15" t="n">
        <f aca="false">B11*B4-B5</f>
        <v>576207.619</v>
      </c>
      <c r="C14" s="2" t="s">
        <v>258</v>
      </c>
    </row>
    <row r="15" customFormat="false" ht="36" hidden="false" customHeight="true" outlineLevel="0" collapsed="false">
      <c r="A15" s="3" t="s">
        <v>259</v>
      </c>
      <c r="B15" s="16" t="n">
        <f aca="false">B14-B7</f>
        <v>316900.130111111</v>
      </c>
      <c r="C15" s="3" t="s">
        <v>260</v>
      </c>
    </row>
    <row r="16" customFormat="false" ht="36" hidden="false" customHeight="true" outlineLevel="0" collapsed="false">
      <c r="A16" s="2" t="s">
        <v>261</v>
      </c>
      <c r="B16" s="15" t="n">
        <f aca="false">Budget12!N12/Budget12!N2</f>
        <v>1635.1937715</v>
      </c>
      <c r="C16" s="2" t="s">
        <v>262</v>
      </c>
    </row>
    <row r="17" customFormat="false" ht="36" hidden="false" customHeight="true" outlineLevel="0" collapsed="false">
      <c r="A17" s="3" t="s">
        <v>263</v>
      </c>
      <c r="B17" s="16" t="n">
        <f aca="false">Budget12!N18/Budget12!N2</f>
        <v>1670.5810315</v>
      </c>
      <c r="C17" s="3" t="s">
        <v>264</v>
      </c>
    </row>
    <row r="18" customFormat="false" ht="36" hidden="false" customHeight="true" outlineLevel="0" collapsed="false">
      <c r="A18" s="2" t="s">
        <v>265</v>
      </c>
      <c r="B18" s="15" t="n">
        <f aca="false">Budget12!N12-Budget12!N13</f>
        <v>8781326.172</v>
      </c>
      <c r="C18" s="2" t="s">
        <v>266</v>
      </c>
    </row>
    <row r="19" customFormat="false" ht="36" hidden="false" customHeight="true" outlineLevel="0" collapsed="false">
      <c r="A19" s="3" t="s">
        <v>267</v>
      </c>
      <c r="B19" s="16" t="n">
        <f aca="false">-MIN(Budget12!B15:M15)</f>
        <v>10184162.267</v>
      </c>
      <c r="C19" s="3" t="s">
        <v>268</v>
      </c>
    </row>
    <row r="20" customFormat="false" ht="36" hidden="false" customHeight="true" outlineLevel="0" collapsed="false">
      <c r="A20" s="2" t="s">
        <v>269</v>
      </c>
      <c r="B20" s="15" t="n">
        <f aca="false">B19+Inputs!$B$17*Inputs!$B$12+Inputs!$B$18*Inputs!$B$12</f>
        <v>10538930.747</v>
      </c>
      <c r="C20" s="2" t="s">
        <v>270</v>
      </c>
    </row>
    <row r="21" customFormat="false" ht="36" hidden="false" customHeight="true" outlineLevel="0" collapsed="false">
      <c r="A21" s="3" t="s">
        <v>271</v>
      </c>
      <c r="B21" s="21" t="n">
        <f aca="false">(B5/B11+B3)/(Inputs!$B$9*Inputs!$B$11)</f>
        <v>0.013920625</v>
      </c>
      <c r="C21" s="3" t="s">
        <v>272</v>
      </c>
    </row>
    <row r="22" customFormat="false" ht="36" hidden="false" customHeight="true" outlineLevel="0" collapsed="false">
      <c r="A22" s="2" t="s">
        <v>273</v>
      </c>
      <c r="B22" s="17" t="n">
        <v>0.15</v>
      </c>
      <c r="C22" s="2" t="s">
        <v>274</v>
      </c>
    </row>
    <row r="23" customFormat="false" ht="36" hidden="false" customHeight="true" outlineLevel="0" collapsed="false">
      <c r="A23" s="3" t="s">
        <v>275</v>
      </c>
      <c r="B23" s="20" t="n">
        <f aca="false">IF(B4&lt;=0,"Нет",ROUNDUP((Budget12!N12-Budget12!N11)/(9*B4),0))</f>
        <v>3068</v>
      </c>
      <c r="C23" s="3" t="s">
        <v>276</v>
      </c>
    </row>
  </sheetData>
  <autoFilter ref="A1:C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8" min="2" style="0" width="21"/>
  </cols>
  <sheetData>
    <row r="1" customFormat="false" ht="36" hidden="false" customHeight="true" outlineLevel="0" collapsed="false">
      <c r="A1" s="1" t="s">
        <v>277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</row>
    <row r="2" customFormat="false" ht="30" hidden="false" customHeight="true" outlineLevel="0" collapsed="false">
      <c r="A2" s="2" t="s">
        <v>285</v>
      </c>
      <c r="B2" s="17" t="n">
        <f aca="false">Inputs!$B$10</f>
        <v>0.03</v>
      </c>
      <c r="C2" s="17" t="n">
        <f aca="false">Inputs!$B$11</f>
        <v>0.08</v>
      </c>
      <c r="D2" s="15" t="n">
        <f aca="false">Inputs!$B$8</f>
        <v>89.588</v>
      </c>
      <c r="E2" s="15" t="n">
        <f aca="false">Inputs!$B$9*B2*C2-D2</f>
        <v>447.94</v>
      </c>
      <c r="F2" s="15" t="n">
        <f aca="false">Unit!B5</f>
        <v>319672.381</v>
      </c>
      <c r="G2" s="19" t="n">
        <f aca="false">IF(E2&lt;=0,"Нет",ROUNDUP(F2/E2,0))</f>
        <v>714</v>
      </c>
      <c r="H2" s="19" t="n">
        <f aca="false">IF(E2&lt;=0,"Нет",ROUNDUP((F2+Unit!B7)/E2,0))</f>
        <v>1293</v>
      </c>
    </row>
    <row r="3" customFormat="false" ht="30" hidden="false" customHeight="true" outlineLevel="0" collapsed="false">
      <c r="A3" s="3" t="s">
        <v>286</v>
      </c>
      <c r="B3" s="22" t="n">
        <v>0.02</v>
      </c>
      <c r="C3" s="22" t="n">
        <f aca="false">Inputs!$B$11</f>
        <v>0.08</v>
      </c>
      <c r="D3" s="16" t="n">
        <f aca="false">Inputs!$B$8</f>
        <v>89.588</v>
      </c>
      <c r="E3" s="16" t="n">
        <f aca="false">Inputs!$B$9*B3*C3-D3</f>
        <v>268.764</v>
      </c>
      <c r="F3" s="16" t="n">
        <f aca="false">Unit!B5</f>
        <v>319672.381</v>
      </c>
      <c r="G3" s="20" t="n">
        <f aca="false">IF(E3&lt;=0,"Нет",ROUNDUP(F3/E3,0))</f>
        <v>1190</v>
      </c>
      <c r="H3" s="20" t="n">
        <f aca="false">IF(E3&lt;=0,"Нет",ROUNDUP((F3+Unit!B7)/E3,0))</f>
        <v>2155</v>
      </c>
    </row>
    <row r="4" customFormat="false" ht="30" hidden="false" customHeight="true" outlineLevel="0" collapsed="false">
      <c r="A4" s="2" t="s">
        <v>287</v>
      </c>
      <c r="B4" s="17" t="n">
        <v>0.01</v>
      </c>
      <c r="C4" s="17" t="n">
        <f aca="false">Inputs!$B$11</f>
        <v>0.08</v>
      </c>
      <c r="D4" s="15" t="n">
        <f aca="false">Inputs!$B$8</f>
        <v>89.588</v>
      </c>
      <c r="E4" s="15" t="n">
        <f aca="false">Inputs!$B$9*B4*C4-D4</f>
        <v>89.588</v>
      </c>
      <c r="F4" s="15" t="n">
        <f aca="false">Unit!B5</f>
        <v>319672.381</v>
      </c>
      <c r="G4" s="19" t="n">
        <f aca="false">IF(E4&lt;=0,"Нет",ROUNDUP(F4/E4,0))</f>
        <v>3569</v>
      </c>
      <c r="H4" s="19" t="n">
        <f aca="false">IF(E4&lt;=0,"Нет",ROUNDUP((F4+Unit!B7)/E4,0))</f>
        <v>6463</v>
      </c>
    </row>
    <row r="5" customFormat="false" ht="30" hidden="false" customHeight="true" outlineLevel="0" collapsed="false">
      <c r="A5" s="3" t="s">
        <v>288</v>
      </c>
      <c r="B5" s="22" t="n">
        <f aca="false">Inputs!$B$10</f>
        <v>0.03</v>
      </c>
      <c r="C5" s="22" t="n">
        <v>0.05</v>
      </c>
      <c r="D5" s="16" t="n">
        <f aca="false">Inputs!$B$8</f>
        <v>89.588</v>
      </c>
      <c r="E5" s="16" t="n">
        <f aca="false">Inputs!$B$9*B5*C5-D5</f>
        <v>246.367</v>
      </c>
      <c r="F5" s="16" t="n">
        <f aca="false">Unit!B5</f>
        <v>319672.381</v>
      </c>
      <c r="G5" s="20" t="n">
        <f aca="false">IF(E5&lt;=0,"Нет",ROUNDUP(F5/E5,0))</f>
        <v>1298</v>
      </c>
      <c r="H5" s="20" t="n">
        <f aca="false">IF(E5&lt;=0,"Нет",ROUNDUP((F5+Unit!B7)/E5,0))</f>
        <v>2351</v>
      </c>
    </row>
    <row r="6" customFormat="false" ht="30" hidden="false" customHeight="true" outlineLevel="0" collapsed="false">
      <c r="A6" s="2" t="s">
        <v>289</v>
      </c>
      <c r="B6" s="17" t="n">
        <f aca="false">Inputs!$B$10</f>
        <v>0.03</v>
      </c>
      <c r="C6" s="17" t="n">
        <f aca="false">Inputs!$B$11</f>
        <v>0.08</v>
      </c>
      <c r="D6" s="15" t="n">
        <f aca="false">Inputs!$B$8*2</f>
        <v>179.176</v>
      </c>
      <c r="E6" s="15" t="n">
        <f aca="false">Inputs!$B$9*B6*C6-D6</f>
        <v>358.352</v>
      </c>
      <c r="F6" s="15" t="n">
        <f aca="false">Unit!B5</f>
        <v>319672.381</v>
      </c>
      <c r="G6" s="19" t="n">
        <f aca="false">IF(E6&lt;=0,"Нет",ROUNDUP(F6/E6,0))</f>
        <v>893</v>
      </c>
      <c r="H6" s="19" t="n">
        <f aca="false">IF(E6&lt;=0,"Нет",ROUNDUP((F6+Unit!B7)/E6,0))</f>
        <v>1616</v>
      </c>
    </row>
    <row r="7" customFormat="false" ht="30" hidden="false" customHeight="true" outlineLevel="0" collapsed="false">
      <c r="A7" s="3" t="s">
        <v>290</v>
      </c>
      <c r="B7" s="22" t="n">
        <f aca="false">Inputs!$B$10</f>
        <v>0.03</v>
      </c>
      <c r="C7" s="22" t="n">
        <f aca="false">Inputs!$B$11</f>
        <v>0.08</v>
      </c>
      <c r="D7" s="16" t="n">
        <f aca="false">Inputs!$B$8</f>
        <v>89.588</v>
      </c>
      <c r="E7" s="16" t="n">
        <f aca="false">Inputs!$B$9*B7*C7-D7</f>
        <v>447.94</v>
      </c>
      <c r="F7" s="16" t="n">
        <f aca="false">Unit!B5+(Hosting!B2+Hosting!B3+Hosting!B4+Hosting!B5+Hosting!B6)*0.3</f>
        <v>329435.2333</v>
      </c>
      <c r="G7" s="20" t="n">
        <f aca="false">IF(E7&lt;=0,"Нет",ROUNDUP(F7/E7,0))</f>
        <v>736</v>
      </c>
      <c r="H7" s="20" t="n">
        <f aca="false">IF(E7&lt;=0,"Нет",ROUNDUP((F7+Unit!B7)/E7,0))</f>
        <v>1315</v>
      </c>
    </row>
    <row r="8" customFormat="false" ht="30" hidden="false" customHeight="true" outlineLevel="0" collapsed="false">
      <c r="A8" s="2" t="s">
        <v>291</v>
      </c>
      <c r="B8" s="17" t="n">
        <v>0</v>
      </c>
      <c r="C8" s="17" t="n">
        <f aca="false">Inputs!$B$11</f>
        <v>0.08</v>
      </c>
      <c r="D8" s="15" t="n">
        <f aca="false">Inputs!$B$8</f>
        <v>89.588</v>
      </c>
      <c r="E8" s="15" t="n">
        <f aca="false">Inputs!$B$9*B8*C8-D8</f>
        <v>-89.588</v>
      </c>
      <c r="F8" s="15" t="n">
        <f aca="false">Unit!B5</f>
        <v>319672.381</v>
      </c>
      <c r="G8" s="19" t="str">
        <f aca="false">IF(E8&lt;=0,"Нет",ROUNDUP(F8/E8,0))</f>
        <v>Нет</v>
      </c>
      <c r="H8" s="19" t="str">
        <f aca="false">IF(E8&lt;=0,"Нет",ROUNDUP((F8+Unit!B7)/E8,0))</f>
        <v>Нет</v>
      </c>
    </row>
    <row r="10" customFormat="false" ht="15" hidden="false" customHeight="false" outlineLevel="0" collapsed="false">
      <c r="A10" s="0" t="s">
        <v>292</v>
      </c>
    </row>
    <row r="11" customFormat="false" ht="36" hidden="false" customHeight="true" outlineLevel="0" collapsed="false">
      <c r="A11" s="1" t="s">
        <v>293</v>
      </c>
      <c r="B11" s="1" t="s">
        <v>294</v>
      </c>
      <c r="C11" s="1" t="s">
        <v>295</v>
      </c>
      <c r="D11" s="1" t="s">
        <v>296</v>
      </c>
      <c r="E11" s="1" t="s">
        <v>297</v>
      </c>
      <c r="F11" s="1" t="s">
        <v>298</v>
      </c>
      <c r="G11" s="1" t="s">
        <v>283</v>
      </c>
      <c r="H11" s="1" t="s">
        <v>284</v>
      </c>
    </row>
    <row r="12" customFormat="false" ht="42" hidden="false" customHeight="true" outlineLevel="0" collapsed="false">
      <c r="A12" s="2" t="s">
        <v>299</v>
      </c>
      <c r="B12" s="17" t="n">
        <v>-0.2</v>
      </c>
      <c r="C12" s="15" t="n">
        <f aca="false">FX!$B$4*(1+B12)</f>
        <v>358.352</v>
      </c>
      <c r="D12" s="15" t="n">
        <f aca="false">Hosting!B12+SUM(Hosting!B2:B6)*B12</f>
        <v>44399.8128</v>
      </c>
      <c r="E12" s="15" t="n">
        <f aca="false">Unit!B5+SUM(Hosting!B2:B6)*B12</f>
        <v>313163.8128</v>
      </c>
      <c r="F12" s="15" t="n">
        <f aca="false">D12*36+Hosting!B13+Hosting!B14</f>
        <v>1616310.8608</v>
      </c>
      <c r="G12" s="19" t="n">
        <f aca="false">IF(Unit!B4&lt;=0,"Нет",ROUNDUP(E12/Unit!B4,0))</f>
        <v>700</v>
      </c>
      <c r="H12" s="19" t="n">
        <f aca="false">IF(Unit!B4&lt;=0,"Нет",ROUNDUP((E12+Unit!B7)/Unit!B4,0))</f>
        <v>1279</v>
      </c>
    </row>
    <row r="13" customFormat="false" ht="42" hidden="false" customHeight="true" outlineLevel="0" collapsed="false">
      <c r="A13" s="4" t="s">
        <v>300</v>
      </c>
      <c r="B13" s="23" t="n">
        <v>0</v>
      </c>
      <c r="C13" s="24" t="n">
        <f aca="false">FX!$B$4*(1+B13)</f>
        <v>447.94</v>
      </c>
      <c r="D13" s="24" t="n">
        <f aca="false">Hosting!B12+SUM(Hosting!B2:B6)*B13</f>
        <v>50908.381</v>
      </c>
      <c r="E13" s="24" t="n">
        <f aca="false">Unit!B5+SUM(Hosting!B2:B6)*B13</f>
        <v>319672.381</v>
      </c>
      <c r="F13" s="24" t="n">
        <f aca="false">D13*36+Hosting!B13+Hosting!B14</f>
        <v>1850619.316</v>
      </c>
      <c r="G13" s="25" t="n">
        <f aca="false">IF(Unit!B4&lt;=0,"Нет",ROUNDUP(E13/Unit!B4,0))</f>
        <v>714</v>
      </c>
      <c r="H13" s="25" t="n">
        <f aca="false">IF(Unit!B4&lt;=0,"Нет",ROUNDUP((E13+Unit!B7)/Unit!B4,0))</f>
        <v>1293</v>
      </c>
    </row>
    <row r="14" customFormat="false" ht="42" hidden="false" customHeight="true" outlineLevel="0" collapsed="false">
      <c r="A14" s="2" t="s">
        <v>301</v>
      </c>
      <c r="B14" s="17" t="n">
        <v>0.2</v>
      </c>
      <c r="C14" s="15" t="n">
        <f aca="false">FX!$B$4*(1+B14)</f>
        <v>537.528</v>
      </c>
      <c r="D14" s="15" t="n">
        <f aca="false">Hosting!B12+SUM(Hosting!B2:B6)*B14</f>
        <v>57416.9492</v>
      </c>
      <c r="E14" s="15" t="n">
        <f aca="false">Unit!B5+SUM(Hosting!B2:B6)*B14</f>
        <v>326180.9492</v>
      </c>
      <c r="F14" s="15" t="n">
        <f aca="false">D14*36+Hosting!B13+Hosting!B14</f>
        <v>2084927.7712</v>
      </c>
      <c r="G14" s="19" t="n">
        <f aca="false">IF(Unit!B4&lt;=0,"Нет",ROUNDUP(E14/Unit!B4,0))</f>
        <v>729</v>
      </c>
      <c r="H14" s="19" t="n">
        <f aca="false">IF(Unit!B4&lt;=0,"Нет",ROUNDUP((E14+Unit!B7)/Unit!B4,0))</f>
        <v>1308</v>
      </c>
    </row>
  </sheetData>
  <autoFilter ref="A1:H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12" min="2" style="0" width="21"/>
  </cols>
  <sheetData>
    <row r="1" customFormat="false" ht="36" hidden="false" customHeight="true" outlineLevel="0" collapsed="false">
      <c r="A1" s="1" t="s">
        <v>277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</row>
    <row r="2" customFormat="false" ht="30" hidden="false" customHeight="true" outlineLevel="0" collapsed="false">
      <c r="A2" s="2" t="s">
        <v>313</v>
      </c>
      <c r="B2" s="17" t="n">
        <v>0.999</v>
      </c>
      <c r="C2" s="17" t="n">
        <v>0.995</v>
      </c>
      <c r="D2" s="15" t="n">
        <v>43200</v>
      </c>
      <c r="E2" s="15" t="n">
        <f aca="false">D2*(1-B2)</f>
        <v>43.2</v>
      </c>
      <c r="F2" s="15" t="n">
        <f aca="false">D2*(1-C2)</f>
        <v>216</v>
      </c>
      <c r="G2" s="15" t="n">
        <v>200000</v>
      </c>
      <c r="H2" s="15" t="n">
        <f aca="false">ROUNDDOWN(ROUND(G2*(1-B2),8),0)</f>
        <v>200</v>
      </c>
      <c r="I2" s="15" t="n">
        <f aca="false">ROUNDDOWN(ROUND(G2*(1-C2),8),0)</f>
        <v>1000</v>
      </c>
      <c r="J2" s="15" t="n">
        <v>2</v>
      </c>
      <c r="K2" s="15" t="n">
        <v>3</v>
      </c>
      <c r="L2" s="15" t="n">
        <f aca="false">ROUNDDOWN(G2*0.05,0)</f>
        <v>10000</v>
      </c>
    </row>
    <row r="3" customFormat="false" ht="30" hidden="false" customHeight="true" outlineLevel="0" collapsed="false">
      <c r="A3" s="3" t="s">
        <v>314</v>
      </c>
      <c r="B3" s="22" t="n">
        <v>0.998</v>
      </c>
      <c r="C3" s="22" t="n">
        <v>0.995</v>
      </c>
      <c r="D3" s="16" t="n">
        <v>43200</v>
      </c>
      <c r="E3" s="16" t="n">
        <f aca="false">D3*(1-B3)</f>
        <v>86.4000000000001</v>
      </c>
      <c r="F3" s="16" t="n">
        <f aca="false">D3*(1-C3)</f>
        <v>216</v>
      </c>
      <c r="G3" s="16" t="n">
        <v>20000</v>
      </c>
      <c r="H3" s="16" t="n">
        <f aca="false">ROUNDDOWN(ROUND(G3*(1-B3),8),0)</f>
        <v>40</v>
      </c>
      <c r="I3" s="16" t="n">
        <f aca="false">ROUNDDOWN(ROUND(G3*(1-C3),8),0)</f>
        <v>100</v>
      </c>
      <c r="J3" s="16" t="n">
        <v>2</v>
      </c>
      <c r="K3" s="16" t="n">
        <v>3</v>
      </c>
      <c r="L3" s="16" t="n">
        <f aca="false">ROUNDDOWN(G3*0.05,0)</f>
        <v>1000</v>
      </c>
    </row>
    <row r="4" customFormat="false" ht="30" hidden="false" customHeight="true" outlineLevel="0" collapsed="false">
      <c r="A4" s="2" t="s">
        <v>315</v>
      </c>
      <c r="B4" s="17" t="n">
        <v>0.997</v>
      </c>
      <c r="C4" s="17" t="n">
        <v>0.995</v>
      </c>
      <c r="D4" s="15" t="n">
        <v>43200</v>
      </c>
      <c r="E4" s="15" t="n">
        <f aca="false">D4*(1-B4)</f>
        <v>129.6</v>
      </c>
      <c r="F4" s="15" t="n">
        <f aca="false">D4*(1-C4)</f>
        <v>216</v>
      </c>
      <c r="G4" s="15" t="n">
        <v>4000</v>
      </c>
      <c r="H4" s="15" t="n">
        <f aca="false">ROUNDDOWN(ROUND(G4*(1-B4),8),0)</f>
        <v>12</v>
      </c>
      <c r="I4" s="15" t="n">
        <f aca="false">ROUNDDOWN(ROUND(G4*(1-C4),8),0)</f>
        <v>20</v>
      </c>
      <c r="J4" s="15" t="n">
        <v>2</v>
      </c>
      <c r="K4" s="15" t="n">
        <v>3</v>
      </c>
      <c r="L4" s="15" t="n">
        <f aca="false">ROUNDDOWN(G4*0.05,0)</f>
        <v>200</v>
      </c>
    </row>
    <row r="5" customFormat="false" ht="30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30" hidden="false" customHeight="true" outlineLevel="0" collapsed="false">
      <c r="A6" s="2" t="s">
        <v>316</v>
      </c>
      <c r="B6" s="2" t="s">
        <v>317</v>
      </c>
      <c r="C6" s="2" t="s">
        <v>318</v>
      </c>
      <c r="D6" s="2" t="s">
        <v>319</v>
      </c>
      <c r="E6" s="2" t="s">
        <v>320</v>
      </c>
      <c r="F6" s="2" t="s">
        <v>321</v>
      </c>
      <c r="G6" s="2"/>
      <c r="H6" s="2"/>
      <c r="I6" s="2"/>
      <c r="J6" s="2"/>
      <c r="K6" s="2"/>
      <c r="L6" s="2"/>
    </row>
    <row r="7" customFormat="false" ht="30" hidden="false" customHeight="true" outlineLevel="0" collapsed="false">
      <c r="A7" s="16" t="n">
        <v>28</v>
      </c>
      <c r="B7" s="16" t="n">
        <f aca="false">A7*1440</f>
        <v>40320</v>
      </c>
      <c r="C7" s="16" t="n">
        <f aca="false">B7*(1-$B$2)</f>
        <v>40.32</v>
      </c>
      <c r="D7" s="16" t="n">
        <f aca="false">B7*(1-$B$3)</f>
        <v>80.6400000000001</v>
      </c>
      <c r="E7" s="16" t="n">
        <f aca="false">B7*(1-$B$4)</f>
        <v>120.96</v>
      </c>
      <c r="F7" s="16" t="n">
        <f aca="false">B7*(1-$C$2)</f>
        <v>201.6</v>
      </c>
      <c r="G7" s="3"/>
      <c r="H7" s="3"/>
      <c r="I7" s="3"/>
      <c r="J7" s="3"/>
      <c r="K7" s="3"/>
      <c r="L7" s="3"/>
    </row>
    <row r="8" customFormat="false" ht="30" hidden="false" customHeight="true" outlineLevel="0" collapsed="false">
      <c r="A8" s="15" t="n">
        <v>30</v>
      </c>
      <c r="B8" s="15" t="n">
        <f aca="false">A8*1440</f>
        <v>43200</v>
      </c>
      <c r="C8" s="15" t="n">
        <f aca="false">B8*(1-$B$2)</f>
        <v>43.2</v>
      </c>
      <c r="D8" s="15" t="n">
        <f aca="false">B8*(1-$B$3)</f>
        <v>86.4000000000001</v>
      </c>
      <c r="E8" s="15" t="n">
        <f aca="false">B8*(1-$B$4)</f>
        <v>129.6</v>
      </c>
      <c r="F8" s="15" t="n">
        <f aca="false">B8*(1-$C$2)</f>
        <v>216</v>
      </c>
      <c r="G8" s="2"/>
      <c r="H8" s="2"/>
      <c r="I8" s="2"/>
      <c r="J8" s="2"/>
      <c r="K8" s="2"/>
      <c r="L8" s="2"/>
    </row>
    <row r="9" customFormat="false" ht="30" hidden="false" customHeight="true" outlineLevel="0" collapsed="false">
      <c r="A9" s="16" t="n">
        <v>31</v>
      </c>
      <c r="B9" s="16" t="n">
        <f aca="false">A9*1440</f>
        <v>44640</v>
      </c>
      <c r="C9" s="16" t="n">
        <f aca="false">B9*(1-$B$2)</f>
        <v>44.64</v>
      </c>
      <c r="D9" s="16" t="n">
        <f aca="false">B9*(1-$B$3)</f>
        <v>89.2800000000001</v>
      </c>
      <c r="E9" s="16" t="n">
        <f aca="false">B9*(1-$B$4)</f>
        <v>133.92</v>
      </c>
      <c r="F9" s="16" t="n">
        <f aca="false">B9*(1-$C$2)</f>
        <v>223.2</v>
      </c>
      <c r="G9" s="3"/>
      <c r="H9" s="3"/>
      <c r="I9" s="3"/>
      <c r="J9" s="3"/>
      <c r="K9" s="3"/>
      <c r="L9" s="3"/>
    </row>
  </sheetData>
  <autoFilter ref="A1:L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1"/>
  </cols>
  <sheetData>
    <row r="1" customFormat="false" ht="36" hidden="false" customHeight="true" outlineLevel="0" collapsed="false">
      <c r="A1" s="1" t="s">
        <v>322</v>
      </c>
      <c r="B1" s="1" t="s">
        <v>323</v>
      </c>
      <c r="C1" s="1" t="s">
        <v>324</v>
      </c>
    </row>
    <row r="2" customFormat="false" ht="36" hidden="false" customHeight="true" outlineLevel="0" collapsed="false">
      <c r="A2" s="2" t="s">
        <v>325</v>
      </c>
      <c r="B2" s="15" t="n">
        <f aca="false">SUM(Budget12!N3:N11)-Budget12!N12</f>
        <v>0</v>
      </c>
      <c r="C2" s="15" t="n">
        <v>0</v>
      </c>
    </row>
    <row r="3" customFormat="false" ht="36" hidden="false" customHeight="true" outlineLevel="0" collapsed="false">
      <c r="A3" s="3" t="s">
        <v>326</v>
      </c>
      <c r="B3" s="16" t="n">
        <f aca="false">Budget12!N18-Budget12!N12-Inputs!$B$17*Inputs!$B$12</f>
        <v>-1.80443748831749E-009</v>
      </c>
      <c r="C3" s="16" t="n">
        <v>0</v>
      </c>
    </row>
    <row r="4" customFormat="false" ht="36" hidden="false" customHeight="true" outlineLevel="0" collapsed="false">
      <c r="A4" s="2" t="s">
        <v>327</v>
      </c>
      <c r="B4" s="15" t="n">
        <f aca="false">Budget12!N20-Budget12!N18-Inputs!$B$18*Inputs!$B$12</f>
        <v>3.78349795937538E-010</v>
      </c>
      <c r="C4" s="15" t="n">
        <v>0</v>
      </c>
    </row>
    <row r="5" customFormat="false" ht="36" hidden="false" customHeight="true" outlineLevel="0" collapsed="false">
      <c r="A5" s="3" t="s">
        <v>328</v>
      </c>
      <c r="B5" s="16" t="n">
        <f aca="false">Budget12!N14-Budget12!N13+Budget12!N12</f>
        <v>0</v>
      </c>
      <c r="C5" s="16" t="n">
        <v>0</v>
      </c>
    </row>
    <row r="6" customFormat="false" ht="36" hidden="false" customHeight="true" outlineLevel="0" collapsed="false">
      <c r="A6" s="2" t="s">
        <v>329</v>
      </c>
      <c r="B6" s="15" t="n">
        <f aca="false">Hosting!B15-Hosting!B12*36-Hosting!B13-Hosting!B14</f>
        <v>9.45874489843845E-011</v>
      </c>
      <c r="C6" s="15" t="n">
        <v>0</v>
      </c>
    </row>
    <row r="7" customFormat="false" ht="36" hidden="false" customHeight="true" outlineLevel="0" collapsed="false">
      <c r="A7" s="3" t="s">
        <v>330</v>
      </c>
      <c r="B7" s="16" t="n">
        <f aca="false">Hosting!C15-Hosting!C12*36-Hosting!C13-Hosting!C14</f>
        <v>0</v>
      </c>
      <c r="C7" s="16" t="n">
        <v>0</v>
      </c>
    </row>
    <row r="8" customFormat="false" ht="36" hidden="false" customHeight="true" outlineLevel="0" collapsed="false">
      <c r="A8" s="2" t="s">
        <v>331</v>
      </c>
      <c r="B8" s="15" t="n">
        <f aca="false">Hosting!D15-Hosting!D12*36-Hosting!D13-Hosting!D14</f>
        <v>0</v>
      </c>
      <c r="C8" s="15" t="n">
        <v>0</v>
      </c>
    </row>
    <row r="9" customFormat="false" ht="36" hidden="false" customHeight="true" outlineLevel="0" collapsed="false">
      <c r="A9" s="3" t="s">
        <v>332</v>
      </c>
      <c r="B9" s="16" t="n">
        <f aca="false">SUM(Budget12!N3:N7)-Unit!B6</f>
        <v>0</v>
      </c>
      <c r="C9" s="16" t="n">
        <v>0</v>
      </c>
    </row>
    <row r="10" customFormat="false" ht="36" hidden="false" customHeight="true" outlineLevel="0" collapsed="false">
      <c r="A10" s="2" t="s">
        <v>333</v>
      </c>
      <c r="B10" s="15" t="n">
        <f aca="false">MAX(0,Inputs!$B$19+Inputs!$B$17+Inputs!$B$18-Inputs!$B$20)</f>
        <v>46.2</v>
      </c>
      <c r="C10" s="15" t="n">
        <v>46.2</v>
      </c>
    </row>
    <row r="11" customFormat="false" ht="36" hidden="false" customHeight="true" outlineLevel="0" collapsed="false">
      <c r="A11" s="3" t="s">
        <v>334</v>
      </c>
      <c r="B11" s="16" t="n">
        <f aca="false">IF((Unit!B8-1)*Unit!B4&lt;Unit!B5,0,1)</f>
        <v>0</v>
      </c>
      <c r="C11" s="16" t="n">
        <v>0</v>
      </c>
    </row>
    <row r="12" customFormat="false" ht="36" hidden="false" customHeight="true" outlineLevel="0" collapsed="false">
      <c r="A12" s="2" t="s">
        <v>335</v>
      </c>
      <c r="B12" s="15" t="n">
        <f aca="false">IF(Unit!B8*Unit!B4&gt;=Unit!B5,0,1)</f>
        <v>0</v>
      </c>
      <c r="C12" s="15" t="n">
        <v>0</v>
      </c>
    </row>
    <row r="13" customFormat="false" ht="36" hidden="false" customHeight="true" outlineLevel="0" collapsed="false">
      <c r="A13" s="3" t="s">
        <v>336</v>
      </c>
      <c r="B13" s="16" t="n">
        <f aca="false">IF((Unit!B9-1)*Unit!B4&lt;Unit!B5+Unit!B7,0,1)</f>
        <v>0</v>
      </c>
      <c r="C13" s="16" t="n">
        <v>0</v>
      </c>
    </row>
    <row r="14" customFormat="false" ht="36" hidden="false" customHeight="true" outlineLevel="0" collapsed="false">
      <c r="A14" s="2" t="s">
        <v>337</v>
      </c>
      <c r="B14" s="15" t="n">
        <f aca="false">IF(Unit!B9*Unit!B4&gt;=Unit!B5+Unit!B7,0,1)</f>
        <v>0</v>
      </c>
      <c r="C14" s="15" t="n">
        <v>0</v>
      </c>
    </row>
    <row r="15" customFormat="false" ht="42" hidden="false" customHeight="true" outlineLevel="0" collapsed="false">
      <c r="A15" s="4" t="s">
        <v>338</v>
      </c>
      <c r="B15" s="24" t="n">
        <f aca="false">IF(FX!B4&gt;0,0,1)</f>
        <v>0</v>
      </c>
      <c r="C15" s="24" t="n">
        <v>0</v>
      </c>
    </row>
    <row r="16" customFormat="false" ht="42" hidden="false" customHeight="true" outlineLevel="0" collapsed="false">
      <c r="A16" s="2" t="s">
        <v>339</v>
      </c>
      <c r="B16" s="15" t="n">
        <f aca="false">ROUND(Tariffs!E2-Tariffs!B2*FX!B4,8)</f>
        <v>0</v>
      </c>
      <c r="C16" s="15" t="n">
        <v>0</v>
      </c>
    </row>
    <row r="17" customFormat="false" ht="42" hidden="false" customHeight="true" outlineLevel="0" collapsed="false">
      <c r="A17" s="4" t="s">
        <v>340</v>
      </c>
      <c r="B17" s="24" t="n">
        <f aca="false">Tariffs!E4-Tariffs!B4</f>
        <v>0</v>
      </c>
      <c r="C17" s="24" t="n">
        <v>0</v>
      </c>
    </row>
    <row r="18" customFormat="false" ht="42" hidden="false" customHeight="true" outlineLevel="0" collapsed="false">
      <c r="A18" s="2" t="s">
        <v>341</v>
      </c>
      <c r="B18" s="15" t="n">
        <f aca="false">ROUND(Sensitivity!D13-Hosting!B12,8)</f>
        <v>0</v>
      </c>
      <c r="C18" s="15" t="n">
        <v>0</v>
      </c>
    </row>
    <row r="19" customFormat="false" ht="42" hidden="false" customHeight="true" outlineLevel="0" collapsed="false">
      <c r="A19" s="4" t="s">
        <v>342</v>
      </c>
      <c r="B19" s="24" t="n">
        <f aca="false">ROUND(Sensitivity!F13-Hosting!B15,8)</f>
        <v>0</v>
      </c>
      <c r="C19" s="24" t="n">
        <v>0</v>
      </c>
    </row>
    <row r="20" customFormat="false" ht="42" hidden="false" customHeight="true" outlineLevel="0" collapsed="false">
      <c r="A20" s="2" t="s">
        <v>343</v>
      </c>
      <c r="B20" s="15" t="n">
        <f aca="false">ROUND(SUM(Budget12!B17:M17)-Inputs!B17*Inputs!B12,8)</f>
        <v>0</v>
      </c>
      <c r="C20" s="15" t="n">
        <v>0</v>
      </c>
    </row>
  </sheetData>
  <autoFilter ref="A1:C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50"/>
    <col collapsed="false" customWidth="true" hidden="false" outlineLevel="0" max="3" min="3" style="0" width="100"/>
    <col collapsed="false" customWidth="true" hidden="false" outlineLevel="0" max="4" min="4" style="0" width="20"/>
    <col collapsed="false" customWidth="true" hidden="false" outlineLevel="0" max="5" min="5" style="0" width="110"/>
  </cols>
  <sheetData>
    <row r="1" customFormat="false" ht="36" hidden="false" customHeight="true" outlineLevel="0" collapsed="false">
      <c r="A1" s="1" t="s">
        <v>344</v>
      </c>
      <c r="B1" s="1" t="s">
        <v>134</v>
      </c>
      <c r="C1" s="1" t="s">
        <v>345</v>
      </c>
      <c r="D1" s="1" t="s">
        <v>346</v>
      </c>
      <c r="E1" s="1" t="s">
        <v>347</v>
      </c>
    </row>
    <row r="2" customFormat="false" ht="36" hidden="false" customHeight="true" outlineLevel="0" collapsed="false">
      <c r="A2" s="2" t="s">
        <v>348</v>
      </c>
      <c r="B2" s="2" t="s">
        <v>349</v>
      </c>
      <c r="C2" s="2" t="s">
        <v>350</v>
      </c>
      <c r="D2" s="2" t="s">
        <v>351</v>
      </c>
      <c r="E2" s="2" t="s">
        <v>352</v>
      </c>
    </row>
    <row r="3" customFormat="false" ht="36" hidden="false" customHeight="true" outlineLevel="0" collapsed="false">
      <c r="A3" s="3" t="s">
        <v>138</v>
      </c>
      <c r="B3" s="3" t="s">
        <v>353</v>
      </c>
      <c r="C3" s="3" t="s">
        <v>354</v>
      </c>
      <c r="D3" s="3" t="s">
        <v>351</v>
      </c>
      <c r="E3" s="3" t="s">
        <v>355</v>
      </c>
    </row>
    <row r="4" customFormat="false" ht="36" hidden="false" customHeight="true" outlineLevel="0" collapsed="false">
      <c r="A4" s="2" t="s">
        <v>141</v>
      </c>
      <c r="B4" s="2" t="s">
        <v>356</v>
      </c>
      <c r="C4" s="2" t="s">
        <v>357</v>
      </c>
      <c r="D4" s="2" t="s">
        <v>351</v>
      </c>
      <c r="E4" s="2" t="s">
        <v>358</v>
      </c>
    </row>
    <row r="5" customFormat="false" ht="36" hidden="false" customHeight="true" outlineLevel="0" collapsed="false">
      <c r="A5" s="3" t="s">
        <v>144</v>
      </c>
      <c r="B5" s="3" t="s">
        <v>359</v>
      </c>
      <c r="C5" s="3" t="s">
        <v>360</v>
      </c>
      <c r="D5" s="3" t="s">
        <v>351</v>
      </c>
      <c r="E5" s="3" t="s">
        <v>361</v>
      </c>
    </row>
    <row r="6" customFormat="false" ht="36" hidden="false" customHeight="true" outlineLevel="0" collapsed="false">
      <c r="A6" s="2" t="s">
        <v>147</v>
      </c>
      <c r="B6" s="2" t="s">
        <v>362</v>
      </c>
      <c r="C6" s="2" t="s">
        <v>363</v>
      </c>
      <c r="D6" s="2" t="s">
        <v>351</v>
      </c>
      <c r="E6" s="2" t="s">
        <v>364</v>
      </c>
    </row>
    <row r="7" customFormat="false" ht="36" hidden="false" customHeight="true" outlineLevel="0" collapsed="false">
      <c r="A7" s="3" t="s">
        <v>158</v>
      </c>
      <c r="B7" s="3" t="s">
        <v>365</v>
      </c>
      <c r="C7" s="3" t="s">
        <v>366</v>
      </c>
      <c r="D7" s="3" t="s">
        <v>351</v>
      </c>
      <c r="E7" s="3" t="s">
        <v>367</v>
      </c>
    </row>
    <row r="8" customFormat="false" ht="36" hidden="false" customHeight="true" outlineLevel="0" collapsed="false">
      <c r="A8" s="2" t="s">
        <v>155</v>
      </c>
      <c r="B8" s="2" t="s">
        <v>368</v>
      </c>
      <c r="C8" s="2" t="s">
        <v>369</v>
      </c>
      <c r="D8" s="2" t="s">
        <v>351</v>
      </c>
      <c r="E8" s="2" t="s">
        <v>370</v>
      </c>
    </row>
    <row r="9" customFormat="false" ht="36" hidden="false" customHeight="true" outlineLevel="0" collapsed="false">
      <c r="A9" s="3" t="s">
        <v>371</v>
      </c>
      <c r="B9" s="3" t="s">
        <v>372</v>
      </c>
      <c r="C9" s="3" t="s">
        <v>373</v>
      </c>
      <c r="D9" s="3" t="s">
        <v>351</v>
      </c>
      <c r="E9" s="3" t="s">
        <v>374</v>
      </c>
    </row>
    <row r="10" customFormat="false" ht="36" hidden="false" customHeight="true" outlineLevel="0" collapsed="false">
      <c r="A10" s="2" t="s">
        <v>375</v>
      </c>
      <c r="B10" s="2" t="s">
        <v>376</v>
      </c>
      <c r="C10" s="2" t="s">
        <v>377</v>
      </c>
      <c r="D10" s="2" t="s">
        <v>351</v>
      </c>
      <c r="E10" s="2" t="s">
        <v>378</v>
      </c>
    </row>
    <row r="11" customFormat="false" ht="36" hidden="false" customHeight="true" outlineLevel="0" collapsed="false">
      <c r="A11" s="3" t="s">
        <v>379</v>
      </c>
      <c r="B11" s="3" t="s">
        <v>380</v>
      </c>
      <c r="C11" s="3" t="s">
        <v>381</v>
      </c>
      <c r="D11" s="3" t="s">
        <v>351</v>
      </c>
      <c r="E11" s="3" t="s">
        <v>382</v>
      </c>
    </row>
    <row r="12" customFormat="false" ht="36" hidden="false" customHeight="true" outlineLevel="0" collapsed="false">
      <c r="A12" s="2" t="s">
        <v>383</v>
      </c>
      <c r="B12" s="2" t="s">
        <v>384</v>
      </c>
      <c r="C12" s="2" t="s">
        <v>41</v>
      </c>
      <c r="D12" s="2" t="s">
        <v>351</v>
      </c>
      <c r="E12" s="2" t="s">
        <v>385</v>
      </c>
    </row>
    <row r="13" customFormat="false" ht="42" hidden="false" customHeight="true" outlineLevel="0" collapsed="false">
      <c r="A13" s="4" t="s">
        <v>386</v>
      </c>
      <c r="B13" s="4" t="s">
        <v>387</v>
      </c>
      <c r="C13" s="4" t="s">
        <v>41</v>
      </c>
      <c r="D13" s="4" t="s">
        <v>38</v>
      </c>
      <c r="E13" s="4" t="s">
        <v>388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2026-10-23T06:56:35Z</dcterms:created>
  <dc:creator>openpyxl</dc:creator>
  <dc:description/>
  <dc:language>en-US</dc:language>
  <cp:lastModifiedBy/>
  <dcterms:modified xsi:type="dcterms:W3CDTF">2026-10-23T06:56:35Z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