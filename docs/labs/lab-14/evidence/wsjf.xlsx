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JF" sheetId="1" state="visible" r:id="rId1"/>
  </sheets>
  <definedNames>
    <definedName name="_xlnm._FilterDatabase" localSheetId="0" hidden="1">'WSJF'!$A$1:$J$11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2" max="2"/>
    <col width="75" customWidth="1" min="10" max="10"/>
  </cols>
  <sheetData>
    <row r="1">
      <c r="A1" t="inlineStr">
        <is>
          <t>ID</t>
        </is>
      </c>
      <c r="B1" t="inlineStr">
        <is>
          <t>Initiative</t>
        </is>
      </c>
      <c r="C1" t="inlineStr">
        <is>
          <t>Value</t>
        </is>
      </c>
      <c r="D1" t="inlineStr">
        <is>
          <t>Urgency</t>
        </is>
      </c>
      <c r="E1" t="inlineStr">
        <is>
          <t>Risk reduction</t>
        </is>
      </c>
      <c r="F1" t="inlineStr">
        <is>
          <t>Size</t>
        </is>
      </c>
      <c r="G1" t="inlineStr">
        <is>
          <t>CoD</t>
        </is>
      </c>
      <c r="H1" t="inlineStr">
        <is>
          <t>WSJF</t>
        </is>
      </c>
      <c r="I1" t="inlineStr">
        <is>
          <t>Rank</t>
        </is>
      </c>
      <c r="J1" t="inlineStr">
        <is>
          <t>Basis</t>
        </is>
      </c>
    </row>
    <row r="2">
      <c r="A2" t="inlineStr">
        <is>
          <t>P01</t>
        </is>
      </c>
      <c r="B2" t="inlineStr">
        <is>
          <t>Внешний UAT и runbook с принимающим</t>
        </is>
      </c>
      <c r="C2" t="n">
        <v>13</v>
      </c>
      <c r="D2" t="n">
        <v>13</v>
      </c>
      <c r="E2" t="n">
        <v>13</v>
      </c>
      <c r="F2" t="n">
        <v>3</v>
      </c>
      <c r="G2">
        <f>SUM(C2:E2)</f>
        <v/>
      </c>
      <c r="H2">
        <f>G2/F2</f>
        <v/>
      </c>
      <c r="I2">
        <f>RANK(H2,H$2:H$11,0)</f>
        <v/>
      </c>
      <c r="J2" t="inlineStr">
        <is>
          <t>Блокирует передачу; владелец и дата требуют согласования</t>
        </is>
      </c>
    </row>
    <row r="3">
      <c r="A3" t="inlineStr">
        <is>
          <t>P02</t>
        </is>
      </c>
      <c r="B3" t="inlineStr">
        <is>
          <t>Журнал deployments и связанных инцидентов</t>
        </is>
      </c>
      <c r="C3" t="n">
        <v>8</v>
      </c>
      <c r="D3" t="n">
        <v>8</v>
      </c>
      <c r="E3" t="n">
        <v>13</v>
      </c>
      <c r="F3" t="n">
        <v>3</v>
      </c>
      <c r="G3">
        <f>SUM(C3:E3)</f>
        <v/>
      </c>
      <c r="H3">
        <f>G3/F3</f>
        <v/>
      </c>
      <c r="I3">
        <f>RANK(H3,H$2:H$11,0)</f>
        <v/>
      </c>
      <c r="J3" t="inlineStr">
        <is>
          <t>Без источника DORA остаётся неизвестной</t>
        </is>
      </c>
    </row>
    <row r="4">
      <c r="A4" t="inlineStr">
        <is>
          <t>P03</t>
        </is>
      </c>
      <c r="B4" t="inlineStr">
        <is>
          <t>Согласованный календарь и ответственные поддержки</t>
        </is>
      </c>
      <c r="C4" t="n">
        <v>8</v>
      </c>
      <c r="D4" t="n">
        <v>8</v>
      </c>
      <c r="E4" t="n">
        <v>8</v>
      </c>
      <c r="F4" t="n">
        <v>3</v>
      </c>
      <c r="G4">
        <f>SUM(C4:E4)</f>
        <v/>
      </c>
      <c r="H4">
        <f>G4/F4</f>
        <v/>
      </c>
      <c r="I4">
        <f>RANK(H4,H$2:H$11,0)</f>
        <v/>
      </c>
      <c r="J4" t="inlineStr">
        <is>
          <t>Сроки API есть; договорные полномочия не назначены</t>
        </is>
      </c>
    </row>
    <row r="5">
      <c r="A5" t="inlineStr">
        <is>
          <t>P04</t>
        </is>
      </c>
      <c r="B5" t="inlineStr">
        <is>
          <t>Off-site копии и внешний restore drill</t>
        </is>
      </c>
      <c r="C5" t="n">
        <v>13</v>
      </c>
      <c r="D5" t="n">
        <v>13</v>
      </c>
      <c r="E5" t="n">
        <v>13</v>
      </c>
      <c r="F5" t="n">
        <v>5</v>
      </c>
      <c r="G5">
        <f>SUM(C5:E5)</f>
        <v/>
      </c>
      <c r="H5">
        <f>G5/F5</f>
        <v/>
      </c>
      <c r="I5">
        <f>RANK(H5,H$2:H$11,0)</f>
        <v/>
      </c>
      <c r="J5" t="inlineStr">
        <is>
          <t>Потеря единственного узла остаётся внешним риском</t>
        </is>
      </c>
    </row>
    <row r="6">
      <c r="A6" t="inlineStr">
        <is>
          <t>P05</t>
        </is>
      </c>
      <c r="B6" t="inlineStr">
        <is>
          <t>Три внешние точки мониторинга</t>
        </is>
      </c>
      <c r="C6" t="n">
        <v>13</v>
      </c>
      <c r="D6" t="n">
        <v>13</v>
      </c>
      <c r="E6" t="n">
        <v>13</v>
      </c>
      <c r="F6" t="n">
        <v>8</v>
      </c>
      <c r="G6">
        <f>SUM(C6:E6)</f>
        <v/>
      </c>
      <c r="H6">
        <f>G6/F6</f>
        <v/>
      </c>
      <c r="I6">
        <f>RANK(H6,H$2:H$11,0)</f>
        <v/>
      </c>
      <c r="J6" t="inlineStr">
        <is>
          <t>Локальный кворум не даёт эксплуатационного SLA</t>
        </is>
      </c>
    </row>
    <row r="7">
      <c r="A7" t="inlineStr">
        <is>
          <t>P06</t>
        </is>
      </c>
      <c r="B7" t="inlineStr">
        <is>
          <t>Независимая разметка набора AI и проверка качества</t>
        </is>
      </c>
      <c r="C7" t="n">
        <v>5</v>
      </c>
      <c r="D7" t="n">
        <v>5</v>
      </c>
      <c r="E7" t="n">
        <v>8</v>
      </c>
      <c r="F7" t="n">
        <v>3</v>
      </c>
      <c r="G7">
        <f>SUM(C7:E7)</f>
        <v/>
      </c>
      <c r="H7">
        <f>G7/F7</f>
        <v/>
      </c>
      <c r="I7">
        <f>RANK(H7,H$2:H$11,0)</f>
        <v/>
      </c>
      <c r="J7" t="inlineStr">
        <is>
          <t>Модель не превосходит правила; запускать без проверки нельзя</t>
        </is>
      </c>
    </row>
    <row r="8">
      <c r="A8" t="inlineStr">
        <is>
          <t>P07</t>
        </is>
      </c>
      <c r="B8" t="inlineStr">
        <is>
          <t>Общий rate limit для нескольких worker</t>
        </is>
      </c>
      <c r="C8" t="n">
        <v>8</v>
      </c>
      <c r="D8" t="n">
        <v>8</v>
      </c>
      <c r="E8" t="n">
        <v>13</v>
      </c>
      <c r="F8" t="n">
        <v>8</v>
      </c>
      <c r="G8">
        <f>SUM(C8:E8)</f>
        <v/>
      </c>
      <c r="H8">
        <f>G8/F8</f>
        <v/>
      </c>
      <c r="I8">
        <f>RANK(H8,H$2:H$11,0)</f>
        <v/>
      </c>
      <c r="J8" t="inlineStr">
        <is>
          <t>Текущий limiter привязан к процессу; публичный контур требует пересмотра</t>
        </is>
      </c>
    </row>
    <row r="9">
      <c r="A9" t="inlineStr">
        <is>
          <t>P08</t>
        </is>
      </c>
      <c r="B9" t="inlineStr">
        <is>
          <t>Реальная email-доставка с очередью и наблюдаемостью</t>
        </is>
      </c>
      <c r="C9" t="n">
        <v>8</v>
      </c>
      <c r="D9" t="n">
        <v>5</v>
      </c>
      <c r="E9" t="n">
        <v>8</v>
      </c>
      <c r="F9" t="n">
        <v>8</v>
      </c>
      <c r="G9">
        <f>SUM(C9:E9)</f>
        <v/>
      </c>
      <c r="H9">
        <f>G9/F9</f>
        <v/>
      </c>
      <c r="I9">
        <f>RANK(H9,H$2:H$11,0)</f>
        <v/>
      </c>
      <c r="J9" t="inlineStr">
        <is>
          <t>Внешний SMTP и согласие на канал не предоставлены</t>
        </is>
      </c>
    </row>
    <row r="10">
      <c r="A10" t="inlineStr">
        <is>
          <t>P09</t>
        </is>
      </c>
      <c r="B10" t="inlineStr">
        <is>
          <t>Реальный платёжный провайдер с webhook и сверкой</t>
        </is>
      </c>
      <c r="C10" t="n">
        <v>8</v>
      </c>
      <c r="D10" t="n">
        <v>3</v>
      </c>
      <c r="E10" t="n">
        <v>8</v>
      </c>
      <c r="F10" t="n">
        <v>13</v>
      </c>
      <c r="G10">
        <f>SUM(C10:E10)</f>
        <v/>
      </c>
      <c r="H10">
        <f>G10/F10</f>
        <v/>
      </c>
      <c r="I10">
        <f>RANK(H10,H$2:H$11,0)</f>
        <v/>
      </c>
      <c r="J10" t="inlineStr">
        <is>
          <t>Вне базового SOW; нужен договор и доступ провайдера</t>
        </is>
      </c>
    </row>
    <row r="11">
      <c r="A11" t="inlineStr">
        <is>
          <t>P10</t>
        </is>
      </c>
      <c r="B11" t="inlineStr">
        <is>
          <t>Визуальная полировка второстепенных экранов</t>
        </is>
      </c>
      <c r="C11" t="n">
        <v>3</v>
      </c>
      <c r="D11" t="n">
        <v>1</v>
      </c>
      <c r="E11" t="n">
        <v>1</v>
      </c>
      <c r="F11" t="n">
        <v>5</v>
      </c>
      <c r="G11">
        <f>SUM(C11:E11)</f>
        <v/>
      </c>
      <c r="H11">
        <f>G11/F11</f>
        <v/>
      </c>
      <c r="I11">
        <f>RANK(H11,H$2:H$11,0)</f>
        <v/>
      </c>
      <c r="J11" t="inlineStr">
        <is>
          <t>Основные бизнес-сценарии уже проверены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2026-10-30T05:30:00Z</dcterms:created>
  <dcterms:modified xmlns:dcterms="http://purl.org/dc/terms/" xmlns:xsi="http://www.w3.org/2001/XMLSchema-instance" xsi:type="dcterms:W3CDTF">2026-10-30T05:30:00Z</dcterms:modified>
</cp:coreProperties>
</file>