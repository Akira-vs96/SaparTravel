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Requirement</t>
        </is>
      </c>
      <c r="B1" t="inlineStr">
        <is>
          <t>JOB-01</t>
        </is>
      </c>
      <c r="C1" t="inlineStr">
        <is>
          <t>JOB-02</t>
        </is>
      </c>
      <c r="D1" t="inlineStr">
        <is>
          <t>JOB-03</t>
        </is>
      </c>
      <c r="E1" t="inlineStr">
        <is>
          <t>JOB-04</t>
        </is>
      </c>
      <c r="F1" t="inlineStr">
        <is>
          <t>JOB-05</t>
        </is>
      </c>
      <c r="G1" t="inlineStr">
        <is>
          <t>JOB-06</t>
        </is>
      </c>
      <c r="H1" t="inlineStr">
        <is>
          <t>JOB-07</t>
        </is>
      </c>
      <c r="I1" t="inlineStr">
        <is>
          <t>JOB-08</t>
        </is>
      </c>
      <c r="J1" t="inlineStr">
        <is>
          <t>JOB-09</t>
        </is>
      </c>
      <c r="K1" t="inlineStr">
        <is>
          <t>JOB-10</t>
        </is>
      </c>
      <c r="L1" t="inlineStr">
        <is>
          <t>Count</t>
        </is>
      </c>
      <c r="M1" t="inlineStr">
        <is>
          <t>Share</t>
        </is>
      </c>
      <c r="N1" t="inlineStr">
        <is>
          <t>Group</t>
        </is>
      </c>
    </row>
    <row r="2">
      <c r="A2" t="inlineStr">
        <is>
          <t>agile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>
        <f>SUM(B2:K2)</f>
        <v/>
      </c>
      <c r="M2">
        <f>L2/10</f>
        <v/>
      </c>
      <c r="N2">
        <f>IF(M2&gt;=0.5,"50%+",IF(M2&gt;=0.2,"20–49%","&lt;20%"))</f>
        <v/>
      </c>
    </row>
    <row r="3">
      <c r="A3" t="inlineStr">
        <is>
          <t>analytics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>
        <f>SUM(B3:K3)</f>
        <v/>
      </c>
      <c r="M3">
        <f>L3/10</f>
        <v/>
      </c>
      <c r="N3">
        <f>IF(M3&gt;=0.5,"50%+",IF(M3&gt;=0.2,"20–49%","&lt;20%"))</f>
        <v/>
      </c>
    </row>
    <row r="4">
      <c r="A4" t="inlineStr">
        <is>
          <t>automation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>
        <f>SUM(B4:K4)</f>
        <v/>
      </c>
      <c r="M4">
        <f>L4/10</f>
        <v/>
      </c>
      <c r="N4">
        <f>IF(M4&gt;=0.5,"50%+",IF(M4&gt;=0.2,"20–49%","&lt;20%"))</f>
        <v/>
      </c>
    </row>
    <row r="5">
      <c r="A5" t="inlineStr">
        <is>
          <t>budget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>
        <f>SUM(B5:K5)</f>
        <v/>
      </c>
      <c r="M5">
        <f>L5/10</f>
        <v/>
      </c>
      <c r="N5">
        <f>IF(M5&gt;=0.5,"50%+",IF(M5&gt;=0.2,"20–49%","&lt;20%"))</f>
        <v/>
      </c>
    </row>
    <row r="6">
      <c r="A6" t="inlineStr">
        <is>
          <t>communication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>
        <f>SUM(B6:K6)</f>
        <v/>
      </c>
      <c r="M6">
        <f>L6/10</f>
        <v/>
      </c>
      <c r="N6">
        <f>IF(M6&gt;=0.5,"50%+",IF(M6&gt;=0.2,"20–49%","&lt;20%"))</f>
        <v/>
      </c>
    </row>
    <row r="7">
      <c r="A7" t="inlineStr">
        <is>
          <t>documentation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>
        <f>SUM(B7:K7)</f>
        <v/>
      </c>
      <c r="M7">
        <f>L7/10</f>
        <v/>
      </c>
      <c r="N7">
        <f>IF(M7&gt;=0.5,"50%+",IF(M7&gt;=0.2,"20–49%","&lt;20%"))</f>
        <v/>
      </c>
    </row>
    <row r="8">
      <c r="A8" t="inlineStr">
        <is>
          <t>education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>
        <f>SUM(B8:K8)</f>
        <v/>
      </c>
      <c r="M8">
        <f>L8/10</f>
        <v/>
      </c>
      <c r="N8">
        <f>IF(M8&gt;=0.5,"50%+",IF(M8&gt;=0.2,"20–49%","&lt;20%"))</f>
        <v/>
      </c>
    </row>
    <row r="9">
      <c r="A9" t="inlineStr">
        <is>
          <t>english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>
        <f>SUM(B9:K9)</f>
        <v/>
      </c>
      <c r="M9">
        <f>L9/10</f>
        <v/>
      </c>
      <c r="N9">
        <f>IF(M9&gt;=0.5,"50%+",IF(M9&gt;=0.2,"20–49%","&lt;20%"))</f>
        <v/>
      </c>
    </row>
    <row r="10">
      <c r="A10" t="inlineStr">
        <is>
          <t>planning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>
        <f>SUM(B10:K10)</f>
        <v/>
      </c>
      <c r="M10">
        <f>L10/10</f>
        <v/>
      </c>
      <c r="N10">
        <f>IF(M10&gt;=0.5,"50%+",IF(M10&gt;=0.2,"20–49%","&lt;20%"))</f>
        <v/>
      </c>
    </row>
    <row r="11">
      <c r="A11" t="inlineStr">
        <is>
          <t>requirements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>
        <f>SUM(B11:K11)</f>
        <v/>
      </c>
      <c r="M11">
        <f>L11/10</f>
        <v/>
      </c>
      <c r="N11">
        <f>IF(M11&gt;=0.5,"50%+",IF(M11&gt;=0.2,"20–49%","&lt;20%"))</f>
        <v/>
      </c>
    </row>
    <row r="12">
      <c r="A12" t="inlineStr">
        <is>
          <t>risk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>
        <f>SUM(B12:K12)</f>
        <v/>
      </c>
      <c r="M12">
        <f>L12/10</f>
        <v/>
      </c>
      <c r="N12">
        <f>IF(M12&gt;=0.5,"50%+",IF(M12&gt;=0.2,"20–49%","&lt;20%"))</f>
        <v/>
      </c>
    </row>
    <row r="13">
      <c r="A13" t="inlineStr">
        <is>
          <t>teamwork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>
        <f>SUM(B13:K13)</f>
        <v/>
      </c>
      <c r="M13">
        <f>L13/10</f>
        <v/>
      </c>
      <c r="N13">
        <f>IF(M13&gt;=0.5,"50%+",IF(M13&gt;=0.2,"20–49%","&lt;20%"))</f>
        <v/>
      </c>
    </row>
    <row r="14">
      <c r="A14" t="inlineStr">
        <is>
          <t>technical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>
        <f>SUM(B14:K14)</f>
        <v/>
      </c>
      <c r="M14">
        <f>L14/10</f>
        <v/>
      </c>
      <c r="N14">
        <f>IF(M14&gt;=0.5,"50%+",IF(M14&gt;=0.2,"20–49%","&lt;20%"))</f>
        <v/>
      </c>
    </row>
    <row r="15">
      <c r="A15" t="inlineStr">
        <is>
          <t>tracker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>
        <f>SUM(B15:K15)</f>
        <v/>
      </c>
      <c r="M15">
        <f>L15/10</f>
        <v/>
      </c>
      <c r="N15">
        <f>IF(M15&gt;=0.5,"50%+",IF(M15&gt;=0.2,"20–49%","&lt;20%"))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Employer</t>
        </is>
      </c>
      <c r="D1" t="inlineStr">
        <is>
          <t>City</t>
        </is>
      </c>
      <c r="E1" t="inlineStr">
        <is>
          <t>Channel</t>
        </is>
      </c>
      <c r="F1" t="inlineStr">
        <is>
          <t>Accessed</t>
        </is>
      </c>
      <c r="G1" t="inlineStr">
        <is>
          <t>URL</t>
        </is>
      </c>
      <c r="H1" t="inlineStr">
        <is>
          <t>Paraphrased requirements</t>
        </is>
      </c>
    </row>
    <row r="2">
      <c r="A2" t="inlineStr">
        <is>
          <t>JOB-01</t>
        </is>
      </c>
      <c r="B2" t="inlineStr">
        <is>
          <t>Senior IT Project Manager</t>
        </is>
      </c>
      <c r="C2" t="inlineStr">
        <is>
          <t>Jana Soft Engineering</t>
        </is>
      </c>
      <c r="D2" t="inlineStr">
        <is>
          <t>Алматы</t>
        </is>
      </c>
      <c r="E2" t="inlineStr">
        <is>
          <t>Astana Hub</t>
        </is>
      </c>
      <c r="F2" t="inlineStr">
        <is>
          <t>2026-10-30</t>
        </is>
      </c>
      <c r="G2" t="inlineStr">
        <is>
          <t>https://astanahub.com/ru/vacancy/6212</t>
        </is>
      </c>
      <c r="H2" t="inlineStr">
        <is>
          <t>Пять лет управления IT; кросс-функциональные команды; Scrum/Kanban, delivery-метрики, GitFlow, требования и коммуникации; казахский и русский.</t>
        </is>
      </c>
    </row>
    <row r="3">
      <c r="A3" t="inlineStr">
        <is>
          <t>JOB-02</t>
        </is>
      </c>
      <c r="B3" t="inlineStr">
        <is>
          <t>Senior Project Manager, Payment Systems</t>
        </is>
      </c>
      <c r="C3" t="inlineStr">
        <is>
          <t>DataArt Kazakhstan</t>
        </is>
      </c>
      <c r="D3" t="inlineStr">
        <is>
          <t>Астана / удалённо</t>
        </is>
      </c>
      <c r="E3" t="inlineStr">
        <is>
          <t>Astana Hub</t>
        </is>
      </c>
      <c r="F3" t="inlineStr">
        <is>
          <t>2026-10-30</t>
        </is>
      </c>
      <c r="G3" t="inlineStr">
        <is>
          <t>https://astanahub.com/ru/vacancy/6567</t>
        </is>
      </c>
      <c r="H3" t="inlineStr">
        <is>
          <t>Пять лет PM в Agile и платежах; настройка Jira, улучшение процессов, ИИ-автоматизация, английский B2; DORA и Python как преимущество.</t>
        </is>
      </c>
    </row>
    <row r="4">
      <c r="A4" t="inlineStr">
        <is>
          <t>JOB-03</t>
        </is>
      </c>
      <c r="B4" t="inlineStr">
        <is>
          <t>Менеджер проектов</t>
        </is>
      </c>
      <c r="C4" t="inlineStr">
        <is>
          <t>QazCode</t>
        </is>
      </c>
      <c r="D4" t="inlineStr">
        <is>
          <t>Алматы</t>
        </is>
      </c>
      <c r="E4" t="inlineStr">
        <is>
          <t>Astana Hub</t>
        </is>
      </c>
      <c r="F4" t="inlineStr">
        <is>
          <t>2026-10-30</t>
        </is>
      </c>
      <c r="G4" t="inlineStr">
        <is>
          <t>https://astanahub.com/ru/vacancy/6462</t>
        </is>
      </c>
      <c r="H4" t="inlineStr">
        <is>
          <t>Пять лет PM и восемь лет профессионального опыта; Agile/Waterfall/Hybrid, ресурсы, бюджет, риски, MS Project/Excel/PowerPoint, русский и английский.</t>
        </is>
      </c>
    </row>
    <row r="5">
      <c r="A5" t="inlineStr">
        <is>
          <t>JOB-04</t>
        </is>
      </c>
      <c r="B5" t="inlineStr">
        <is>
          <t>Senior Delivery Manager</t>
        </is>
      </c>
      <c r="C5" t="inlineStr">
        <is>
          <t>EPAM</t>
        </is>
      </c>
      <c r="D5" t="inlineStr">
        <is>
          <t>Kazakhstan / hybrid</t>
        </is>
      </c>
      <c r="E5" t="inlineStr">
        <is>
          <t>Employer careers</t>
        </is>
      </c>
      <c r="F5" t="inlineStr">
        <is>
          <t>2026-10-30</t>
        </is>
      </c>
      <c r="G5" t="inlineStr">
        <is>
          <t>https://careers.epam.com/en/vacancy/bltf8583262f2e02ca2?country=Kazakhstan</t>
        </is>
      </c>
      <c r="H5" t="inlineStr">
        <is>
          <t>Семь лет лидерства; delivery от требований до production; WBS, бюджет, риски, UAT, Agile/SAFe/Kanban, GenAI и английский B2.</t>
        </is>
      </c>
    </row>
    <row r="6">
      <c r="A6" t="inlineStr">
        <is>
          <t>JOB-05</t>
        </is>
      </c>
      <c r="B6" t="inlineStr">
        <is>
          <t>Public Cloud Project Manager</t>
        </is>
      </c>
      <c r="C6" t="inlineStr">
        <is>
          <t>Canonical</t>
        </is>
      </c>
      <c r="D6" t="inlineStr">
        <is>
          <t>Americas / remote</t>
        </is>
      </c>
      <c r="E6" t="inlineStr">
        <is>
          <t>Employer ATS</t>
        </is>
      </c>
      <c r="F6" t="inlineStr">
        <is>
          <t>2026-10-30</t>
        </is>
      </c>
      <c r="G6" t="inlineStr">
        <is>
          <t>https://job-boards.greenhouse.io/canonical/jobs/4732475</t>
        </is>
      </c>
      <c r="H6" t="inlineStr">
        <is>
          <t>Проекты публичного облака: Linux, open source, опыт разработки, сроки/стоимость/ресурсы, SoW, технические риски и зависимости; английский, переговоры и распределённые команды; PMP/Scrum как преимущество.</t>
        </is>
      </c>
    </row>
    <row r="7">
      <c r="A7" t="inlineStr">
        <is>
          <t>JOB-06</t>
        </is>
      </c>
      <c r="B7" t="inlineStr">
        <is>
          <t>Junior Project Manager</t>
        </is>
      </c>
      <c r="C7" t="inlineStr">
        <is>
          <t>WeDev</t>
        </is>
      </c>
      <c r="D7" t="inlineStr">
        <is>
          <t>Holon, Israel</t>
        </is>
      </c>
      <c r="E7" t="inlineStr">
        <is>
          <t>Employer ATS</t>
        </is>
      </c>
      <c r="F7" t="inlineStr">
        <is>
          <t>2026-10-30</t>
        </is>
      </c>
      <c r="G7" t="inlineStr">
        <is>
          <t>https://job-boards.eu.greenhouse.io/wedev/jobs/4652223101</t>
        </is>
      </c>
      <c r="H7" t="inlineStr">
        <is>
          <t>Базовые HTML/JavaScript/CSS; user stories, DoD и SoW; встречи с клиентом, организация времени, самостоятельное обучение; eCommerce как плюс.</t>
        </is>
      </c>
    </row>
    <row r="8">
      <c r="A8" t="inlineStr">
        <is>
          <t>JOB-07</t>
        </is>
      </c>
      <c r="B8" t="inlineStr">
        <is>
          <t>Junior Project Manager</t>
        </is>
      </c>
      <c r="C8" t="inlineStr">
        <is>
          <t>Canonical</t>
        </is>
      </c>
      <c r="D8" t="inlineStr">
        <is>
          <t>Americas / APAC, remote</t>
        </is>
      </c>
      <c r="E8" t="inlineStr">
        <is>
          <t>Employer ATS</t>
        </is>
      </c>
      <c r="F8" t="inlineStr">
        <is>
          <t>2026-10-30</t>
        </is>
      </c>
      <c r="G8" t="inlineStr">
        <is>
          <t>https://job-boards.greenhouse.io/canonical/jobs/5861481</t>
        </is>
      </c>
      <c r="H8" t="inlineStr">
        <is>
          <t>Техническое образование или обоснованный альтернативный путь; английский, коммуникации и лидерство; сроки/объём/ресурсы, риски, встречи заказчика и зависимости.</t>
        </is>
      </c>
    </row>
    <row r="9">
      <c r="A9" t="inlineStr">
        <is>
          <t>JOB-08</t>
        </is>
      </c>
      <c r="B9" t="inlineStr">
        <is>
          <t>Junior Project Manager</t>
        </is>
      </c>
      <c r="C9" t="inlineStr">
        <is>
          <t>Société Générale</t>
        </is>
      </c>
      <c r="D9" t="inlineStr">
        <is>
          <t>Bucuresti, Romania</t>
        </is>
      </c>
      <c r="E9" t="inlineStr">
        <is>
          <t>Employer careers</t>
        </is>
      </c>
      <c r="F9" t="inlineStr">
        <is>
          <t>2026-10-30</t>
        </is>
      </c>
      <c r="G9" t="inlineStr">
        <is>
          <t>https://careers.societegenerale.com/en/job-offers/junior-project-manager-26000JUD-en</t>
        </is>
      </c>
      <c r="H9" t="inlineStr">
        <is>
          <t>Один–три года в PM/BA/операциях/аналитике; Excel/PowerPoint, данные, статусы, KPI и риски, французский и английский; Agile/Power BI как плюс.</t>
        </is>
      </c>
    </row>
    <row r="10">
      <c r="A10" t="inlineStr">
        <is>
          <t>JOB-09</t>
        </is>
      </c>
      <c r="B10" t="inlineStr">
        <is>
          <t>Junior Project Manager (AV)</t>
        </is>
      </c>
      <c r="C10" t="inlineStr">
        <is>
          <t>TSMG</t>
        </is>
      </c>
      <c r="D10" t="inlineStr">
        <is>
          <t>Melbourne / remote</t>
        </is>
      </c>
      <c r="E10" t="inlineStr">
        <is>
          <t>Employer ATS</t>
        </is>
      </c>
      <c r="F10" t="inlineStr">
        <is>
          <t>2026-10-30</t>
        </is>
      </c>
      <c r="G10" t="inlineStr">
        <is>
          <t>https://jobs.lever.co/tsmg/b1cde0d3-e32f-446b-9968-7041d6d90ae0</t>
        </is>
      </c>
      <c r="H10" t="inlineStr">
        <is>
          <t>Несмотря на Junior в названии, требуется 3–5 лет. Проекты испытаний автономных автомобилей, безопасность/регуляторика, Jira/MS Project/Asana, метрики; Agile-сертификация как плюс.</t>
        </is>
      </c>
    </row>
    <row r="11">
      <c r="A11" t="inlineStr">
        <is>
          <t>JOB-10</t>
        </is>
      </c>
      <c r="B11" t="inlineStr">
        <is>
          <t>IT Project Manager</t>
        </is>
      </c>
      <c r="C11" t="inlineStr">
        <is>
          <t>MAXINUM CONSULTING</t>
        </is>
      </c>
      <c r="D11" t="inlineStr">
        <is>
          <t>Алматы</t>
        </is>
      </c>
      <c r="E11" t="inlineStr">
        <is>
          <t>Astana Hub</t>
        </is>
      </c>
      <c r="F11" t="inlineStr">
        <is>
          <t>2026-10-30</t>
        </is>
      </c>
      <c r="G11" t="inlineStr">
        <is>
          <t>https://astanahub.com/ru/vacancy/6708</t>
        </is>
      </c>
      <c r="H11" t="inlineStr">
        <is>
          <t>Без опыта; университет или PM-курсы, регулярная практика ИИ, системное мышление, коммуникации и ответственность; русский, казахский/английский как плюс; небольшие проекты от брифа до поддержки.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2026-10-30T05:33:36Z</dcterms:created>
  <dcterms:modified xmlns:dcterms="http://purl.org/dc/terms/" xmlns:xsi="http://www.w3.org/2001/XMLSchema-instance" xsi:type="dcterms:W3CDTF">2026-10-30T05:33:36Z</dcterms:modified>
</cp:coreProperties>
</file>